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ames\Documents\GitHub\GIPT\tripling_beta\"/>
    </mc:Choice>
  </mc:AlternateContent>
  <xr:revisionPtr revIDLastSave="0" documentId="13_ncr:1_{AFD457CC-2C93-4D4E-B43E-71A6A41D2259}" xr6:coauthVersionLast="47" xr6:coauthVersionMax="47" xr10:uidLastSave="{00000000-0000-0000-0000-000000000000}"/>
  <bookViews>
    <workbookView xWindow="-120" yWindow="-120" windowWidth="29040" windowHeight="15720" activeTab="1" xr2:uid="{64387DDE-4ECD-4D35-9D9B-650204D19CA6}"/>
  </bookViews>
  <sheets>
    <sheet name="tripling RE" sheetId="1" r:id="rId1"/>
    <sheet name="additio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21" i="1" l="1"/>
  <c r="M20" i="1"/>
  <c r="M19" i="1"/>
  <c r="K12" i="1"/>
  <c r="K19" i="1"/>
  <c r="O12" i="1"/>
  <c r="N12" i="1"/>
  <c r="P11" i="1"/>
  <c r="R29" i="2"/>
  <c r="T17" i="1"/>
  <c r="S12" i="1"/>
  <c r="S17" i="1"/>
  <c r="R17" i="1"/>
  <c r="R12" i="1"/>
  <c r="J12" i="1"/>
  <c r="P12" i="1"/>
  <c r="J10" i="1"/>
  <c r="J11" i="1"/>
  <c r="M12" i="1"/>
  <c r="L12" i="1"/>
  <c r="E17" i="1"/>
  <c r="T23" i="2"/>
  <c r="T24" i="2"/>
  <c r="T25" i="2"/>
  <c r="T26" i="2"/>
  <c r="T27" i="2"/>
  <c r="C23" i="1"/>
  <c r="K48" i="2"/>
  <c r="L48" i="2" s="1"/>
  <c r="K52" i="2"/>
  <c r="L52" i="2" s="1"/>
  <c r="K27" i="2"/>
  <c r="L27" i="2"/>
  <c r="Q22" i="2"/>
  <c r="Q27" i="2"/>
  <c r="R22" i="2"/>
  <c r="R23" i="2" s="1"/>
  <c r="H23" i="2" s="1"/>
  <c r="B78" i="2"/>
  <c r="B79" i="2" s="1"/>
  <c r="B80" i="2" s="1"/>
  <c r="B81" i="2" s="1"/>
  <c r="B82" i="2" s="1"/>
  <c r="C82" i="2" s="1"/>
  <c r="D82" i="2" s="1"/>
  <c r="K82" i="2"/>
  <c r="E77" i="2"/>
  <c r="E78" i="2" s="1"/>
  <c r="N77" i="2"/>
  <c r="N76" i="2"/>
  <c r="E76" i="2"/>
  <c r="N75" i="2"/>
  <c r="E75" i="2"/>
  <c r="N74" i="2"/>
  <c r="E74" i="2"/>
  <c r="N73" i="2"/>
  <c r="E73" i="2"/>
  <c r="N72" i="2"/>
  <c r="E72" i="2"/>
  <c r="N71" i="2"/>
  <c r="E71" i="2"/>
  <c r="N70" i="2"/>
  <c r="E70" i="2"/>
  <c r="N69" i="2"/>
  <c r="E69" i="2"/>
  <c r="N68" i="2"/>
  <c r="E68" i="2"/>
  <c r="N67" i="2"/>
  <c r="E67" i="2"/>
  <c r="N66" i="2"/>
  <c r="E66" i="2"/>
  <c r="N65" i="2"/>
  <c r="E65" i="2"/>
  <c r="N64" i="2"/>
  <c r="E64" i="2"/>
  <c r="N63" i="2"/>
  <c r="E63" i="2"/>
  <c r="N62" i="2"/>
  <c r="E62" i="2"/>
  <c r="E13" i="1"/>
  <c r="C19" i="1"/>
  <c r="D13" i="1"/>
  <c r="O52" i="2"/>
  <c r="P52" i="2" s="1"/>
  <c r="N47" i="2"/>
  <c r="N48" i="2" s="1"/>
  <c r="N49" i="2" s="1"/>
  <c r="N50" i="2" s="1"/>
  <c r="N51" i="2" s="1"/>
  <c r="E47" i="2"/>
  <c r="N46" i="2"/>
  <c r="E46" i="2"/>
  <c r="N45" i="2"/>
  <c r="E45" i="2"/>
  <c r="N44" i="2"/>
  <c r="E44" i="2"/>
  <c r="N43" i="2"/>
  <c r="E43" i="2"/>
  <c r="N42" i="2"/>
  <c r="E42" i="2"/>
  <c r="N41" i="2"/>
  <c r="E41" i="2"/>
  <c r="N40" i="2"/>
  <c r="E40" i="2"/>
  <c r="N39" i="2"/>
  <c r="E39" i="2"/>
  <c r="N38" i="2"/>
  <c r="E38" i="2"/>
  <c r="N37" i="2"/>
  <c r="E37" i="2"/>
  <c r="N36" i="2"/>
  <c r="E36" i="2"/>
  <c r="N35" i="2"/>
  <c r="E35" i="2"/>
  <c r="N34" i="2"/>
  <c r="E34" i="2"/>
  <c r="N33" i="2"/>
  <c r="E33" i="2"/>
  <c r="N32" i="2"/>
  <c r="E32" i="2"/>
  <c r="O27" i="2"/>
  <c r="P27" i="2" s="1"/>
  <c r="N8" i="2"/>
  <c r="Q8" i="2" s="1"/>
  <c r="N9" i="2"/>
  <c r="Q9" i="2" s="1"/>
  <c r="N10" i="2"/>
  <c r="Q10" i="2" s="1"/>
  <c r="N11" i="2"/>
  <c r="Q11" i="2" s="1"/>
  <c r="N12" i="2"/>
  <c r="Q12" i="2" s="1"/>
  <c r="N13" i="2"/>
  <c r="Q13" i="2" s="1"/>
  <c r="N14" i="2"/>
  <c r="Q14" i="2" s="1"/>
  <c r="N15" i="2"/>
  <c r="Q15" i="2" s="1"/>
  <c r="N16" i="2"/>
  <c r="Q16" i="2" s="1"/>
  <c r="N17" i="2"/>
  <c r="Q17" i="2" s="1"/>
  <c r="N18" i="2"/>
  <c r="Q18" i="2" s="1"/>
  <c r="N19" i="2"/>
  <c r="Q19" i="2" s="1"/>
  <c r="N20" i="2"/>
  <c r="Q20" i="2" s="1"/>
  <c r="N21" i="2"/>
  <c r="S21" i="2" s="1"/>
  <c r="N22" i="2"/>
  <c r="N7" i="2"/>
  <c r="Q7" i="2" s="1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7" i="2"/>
  <c r="S27" i="2"/>
  <c r="D3" i="1"/>
  <c r="E3" i="1" s="1"/>
  <c r="D4" i="1"/>
  <c r="D5" i="1"/>
  <c r="D6" i="1"/>
  <c r="D7" i="1"/>
  <c r="D8" i="1"/>
  <c r="D9" i="1"/>
  <c r="D10" i="1"/>
  <c r="D11" i="1"/>
  <c r="D12" i="1"/>
  <c r="D14" i="1"/>
  <c r="D15" i="1"/>
  <c r="D16" i="1"/>
  <c r="D17" i="1"/>
  <c r="D2" i="1"/>
  <c r="K20" i="1" l="1"/>
  <c r="S22" i="2"/>
  <c r="H48" i="2"/>
  <c r="K49" i="2"/>
  <c r="L49" i="2" s="1"/>
  <c r="Q21" i="2"/>
  <c r="K23" i="2"/>
  <c r="M27" i="2"/>
  <c r="R24" i="2"/>
  <c r="N78" i="2"/>
  <c r="E79" i="2"/>
  <c r="E80" i="2" s="1"/>
  <c r="E81" i="2" s="1"/>
  <c r="E82" i="2" s="1"/>
  <c r="F82" i="2" s="1"/>
  <c r="G82" i="2" s="1"/>
  <c r="B23" i="2"/>
  <c r="K78" i="2"/>
  <c r="C78" i="2"/>
  <c r="C81" i="2"/>
  <c r="D81" i="2" s="1"/>
  <c r="C80" i="2"/>
  <c r="D80" i="2" s="1"/>
  <c r="C79" i="2"/>
  <c r="D79" i="2" s="1"/>
  <c r="F78" i="2"/>
  <c r="O78" i="2" s="1"/>
  <c r="N23" i="2"/>
  <c r="M48" i="2"/>
  <c r="O48" i="2"/>
  <c r="F48" i="2" s="1"/>
  <c r="E4" i="1"/>
  <c r="E5" i="1" s="1"/>
  <c r="E6" i="1" s="1"/>
  <c r="E7" i="1" s="1"/>
  <c r="E8" i="1" s="1"/>
  <c r="E9" i="1" s="1"/>
  <c r="E10" i="1" s="1"/>
  <c r="E11" i="1" s="1"/>
  <c r="E12" i="1" s="1"/>
  <c r="E14" i="1" s="1"/>
  <c r="E15" i="1" s="1"/>
  <c r="E16" i="1" s="1"/>
  <c r="H24" i="2" l="1"/>
  <c r="H49" i="2"/>
  <c r="Q23" i="2"/>
  <c r="M49" i="2"/>
  <c r="K50" i="2"/>
  <c r="L50" i="2" s="1"/>
  <c r="M52" i="2"/>
  <c r="K24" i="2"/>
  <c r="L23" i="2"/>
  <c r="M23" i="2" s="1"/>
  <c r="D23" i="2" s="1"/>
  <c r="B24" i="2"/>
  <c r="N79" i="2"/>
  <c r="N80" i="2" s="1"/>
  <c r="N81" i="2" s="1"/>
  <c r="N82" i="2" s="1"/>
  <c r="S23" i="2"/>
  <c r="C23" i="2"/>
  <c r="G78" i="2"/>
  <c r="P78" i="2" s="1"/>
  <c r="F79" i="2"/>
  <c r="O79" i="2" s="1"/>
  <c r="F80" i="2"/>
  <c r="G80" i="2" s="1"/>
  <c r="D78" i="2"/>
  <c r="L78" i="2"/>
  <c r="L79" i="2" s="1"/>
  <c r="L80" i="2" s="1"/>
  <c r="L81" i="2" s="1"/>
  <c r="L82" i="2" s="1"/>
  <c r="M82" i="2" s="1"/>
  <c r="M78" i="2"/>
  <c r="K79" i="2"/>
  <c r="M79" i="2" s="1"/>
  <c r="F81" i="2"/>
  <c r="G81" i="2" s="1"/>
  <c r="R25" i="2"/>
  <c r="K80" i="2"/>
  <c r="N24" i="2"/>
  <c r="Q24" i="2" s="1"/>
  <c r="E23" i="2"/>
  <c r="O23" i="2"/>
  <c r="F23" i="2" s="1"/>
  <c r="O49" i="2"/>
  <c r="F49" i="2" s="1"/>
  <c r="P48" i="2"/>
  <c r="G48" i="2" s="1"/>
  <c r="H25" i="2" l="1"/>
  <c r="H50" i="2"/>
  <c r="G79" i="2"/>
  <c r="P79" i="2" s="1"/>
  <c r="K51" i="2"/>
  <c r="B52" i="2" s="1"/>
  <c r="M50" i="2"/>
  <c r="K25" i="2"/>
  <c r="L24" i="2"/>
  <c r="K81" i="2"/>
  <c r="M81" i="2" s="1"/>
  <c r="M80" i="2"/>
  <c r="S24" i="2"/>
  <c r="R26" i="2"/>
  <c r="P80" i="2"/>
  <c r="P81" i="2" s="1"/>
  <c r="P82" i="2" s="1"/>
  <c r="O80" i="2"/>
  <c r="O81" i="2" s="1"/>
  <c r="O82" i="2" s="1"/>
  <c r="O24" i="2"/>
  <c r="F24" i="2" s="1"/>
  <c r="E24" i="2"/>
  <c r="N25" i="2"/>
  <c r="Q25" i="2" s="1"/>
  <c r="P23" i="2"/>
  <c r="G23" i="2" s="1"/>
  <c r="P49" i="2"/>
  <c r="G49" i="2" s="1"/>
  <c r="O50" i="2"/>
  <c r="F50" i="2" s="1"/>
  <c r="H51" i="2" l="1"/>
  <c r="H52" i="2"/>
  <c r="L51" i="2"/>
  <c r="C52" i="2" s="1"/>
  <c r="B48" i="2"/>
  <c r="C24" i="2"/>
  <c r="M24" i="2"/>
  <c r="D24" i="2" s="1"/>
  <c r="L25" i="2"/>
  <c r="K26" i="2"/>
  <c r="B25" i="2"/>
  <c r="S25" i="2"/>
  <c r="H27" i="2"/>
  <c r="H26" i="2"/>
  <c r="P24" i="2"/>
  <c r="G24" i="2" s="1"/>
  <c r="N26" i="2"/>
  <c r="Q26" i="2" s="1"/>
  <c r="O25" i="2"/>
  <c r="F25" i="2" s="1"/>
  <c r="E25" i="2"/>
  <c r="E52" i="2"/>
  <c r="U27" i="2" s="1"/>
  <c r="O51" i="2"/>
  <c r="P51" i="2" s="1"/>
  <c r="P50" i="2"/>
  <c r="G50" i="2" s="1"/>
  <c r="E48" i="2" l="1"/>
  <c r="U23" i="2" s="1"/>
  <c r="C48" i="2"/>
  <c r="M51" i="2"/>
  <c r="D52" i="2" s="1"/>
  <c r="B49" i="2"/>
  <c r="L26" i="2"/>
  <c r="B27" i="2"/>
  <c r="M26" i="2"/>
  <c r="B26" i="2"/>
  <c r="C25" i="2"/>
  <c r="M25" i="2"/>
  <c r="D25" i="2" s="1"/>
  <c r="S26" i="2"/>
  <c r="O26" i="2"/>
  <c r="P26" i="2" s="1"/>
  <c r="E27" i="2"/>
  <c r="E26" i="2"/>
  <c r="P25" i="2"/>
  <c r="G25" i="2" s="1"/>
  <c r="G51" i="2"/>
  <c r="G52" i="2"/>
  <c r="F51" i="2"/>
  <c r="F52" i="2"/>
  <c r="E49" i="2" l="1"/>
  <c r="E50" i="2" s="1"/>
  <c r="E51" i="2" s="1"/>
  <c r="C49" i="2"/>
  <c r="D49" i="2" s="1"/>
  <c r="B50" i="2"/>
  <c r="D48" i="2"/>
  <c r="D26" i="2"/>
  <c r="D27" i="2"/>
  <c r="C26" i="2"/>
  <c r="C27" i="2"/>
  <c r="G26" i="2"/>
  <c r="G27" i="2"/>
  <c r="F26" i="2"/>
  <c r="F27" i="2"/>
  <c r="U25" i="2" l="1"/>
  <c r="U24" i="2"/>
  <c r="E54" i="2"/>
  <c r="C50" i="2"/>
  <c r="D50" i="2" s="1"/>
  <c r="B51" i="2"/>
  <c r="U26" i="2" l="1"/>
  <c r="B54" i="2"/>
  <c r="C51" i="2"/>
  <c r="D51" i="2" s="1"/>
</calcChain>
</file>

<file path=xl/sharedStrings.xml><?xml version="1.0" encoding="utf-8"?>
<sst xmlns="http://schemas.openxmlformats.org/spreadsheetml/2006/main" count="80" uniqueCount="30">
  <si>
    <t>Historical annual capacity additions</t>
  </si>
  <si>
    <t>Future annual capacity additions</t>
  </si>
  <si>
    <t>Solar</t>
  </si>
  <si>
    <t>Utility</t>
  </si>
  <si>
    <t>Dist</t>
  </si>
  <si>
    <t>On</t>
  </si>
  <si>
    <t>Off</t>
  </si>
  <si>
    <t>Wind</t>
  </si>
  <si>
    <t>Other</t>
  </si>
  <si>
    <t>Additions</t>
  </si>
  <si>
    <t>Solar+wind</t>
  </si>
  <si>
    <t>Hydro</t>
  </si>
  <si>
    <t>Total</t>
  </si>
  <si>
    <t>Cumulative</t>
  </si>
  <si>
    <t>Total RE</t>
  </si>
  <si>
    <t>Total RE additions</t>
  </si>
  <si>
    <t>Total solar PV</t>
  </si>
  <si>
    <t>Total wind</t>
  </si>
  <si>
    <t>Category</t>
  </si>
  <si>
    <t>Total capacity</t>
  </si>
  <si>
    <t>Renewables</t>
  </si>
  <si>
    <t>Solar PV</t>
  </si>
  <si>
    <t>Bioenergy</t>
  </si>
  <si>
    <t>of which BECCS</t>
  </si>
  <si>
    <t>-</t>
  </si>
  <si>
    <t>CSP</t>
  </si>
  <si>
    <t>Geothermal</t>
  </si>
  <si>
    <t>Marine</t>
  </si>
  <si>
    <t>Total hydro</t>
  </si>
  <si>
    <t>Total 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</si>
</sst>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%"/>
    <numFmt numFmtId="165" formatCode="_-* #,##0_-;\-* #,##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vertical="center" wrapText="1"/>
    </xf>
    <xf numFmtId="1" fontId="0" fillId="0" borderId="0" xfId="0" applyNumberFormat="1"/>
    <xf numFmtId="164" fontId="0" fillId="0" borderId="0" xfId="2" applyNumberFormat="1" applyFont="1"/>
    <xf numFmtId="165" fontId="0" fillId="0" borderId="0" xfId="1" applyNumberFormat="1" applyFont="1"/>
    <xf numFmtId="165" fontId="0" fillId="0" borderId="0" xfId="0" applyNumberFormat="1"/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2"/>
          <c:order val="0"/>
          <c:marker>
            <c:symbol val="none"/>
          </c:marker>
          <c:xVal>
            <c:numRef>
              <c:f>additions!$A$7:$A$27</c:f>
              <c:numCache>
                <c:formatCode>General</c:formatCode>
                <c:ptCount val="2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</c:numCache>
            </c:numRef>
          </c:xVal>
          <c:yVal>
            <c:numRef>
              <c:f>additions!$K$7:$K$27</c:f>
              <c:numCache>
                <c:formatCode>0</c:formatCode>
                <c:ptCount val="21"/>
                <c:pt idx="0">
                  <c:v>33.489999999999903</c:v>
                </c:pt>
                <c:pt idx="1">
                  <c:v>60.1799999999999</c:v>
                </c:pt>
                <c:pt idx="2">
                  <c:v>85.739500000000007</c:v>
                </c:pt>
                <c:pt idx="3">
                  <c:v>118.506999999999</c:v>
                </c:pt>
                <c:pt idx="4">
                  <c:v>155.91550000000001</c:v>
                </c:pt>
                <c:pt idx="5">
                  <c:v>203.26899999999901</c:v>
                </c:pt>
                <c:pt idx="6">
                  <c:v>273.69150000000002</c:v>
                </c:pt>
                <c:pt idx="7">
                  <c:v>365.8655</c:v>
                </c:pt>
                <c:pt idx="8">
                  <c:v>457.945999999999</c:v>
                </c:pt>
                <c:pt idx="9">
                  <c:v>562.27499999999998</c:v>
                </c:pt>
                <c:pt idx="10">
                  <c:v>689.63049999999998</c:v>
                </c:pt>
                <c:pt idx="11">
                  <c:v>830.43299999999999</c:v>
                </c:pt>
                <c:pt idx="12">
                  <c:v>1019.44749999999</c:v>
                </c:pt>
                <c:pt idx="13">
                  <c:v>1379.4480000000001</c:v>
                </c:pt>
                <c:pt idx="14">
                  <c:v>1836.4675</c:v>
                </c:pt>
                <c:pt idx="15">
                  <c:v>2395.13</c:v>
                </c:pt>
                <c:pt idx="16">
                  <c:v>3255.904</c:v>
                </c:pt>
                <c:pt idx="17">
                  <c:v>4116.6779999999999</c:v>
                </c:pt>
                <c:pt idx="18">
                  <c:v>4977.4520000000002</c:v>
                </c:pt>
                <c:pt idx="19">
                  <c:v>5838.2260000000006</c:v>
                </c:pt>
                <c:pt idx="20">
                  <c:v>6699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89E9-4203-A7A1-9F355ECBB89F}"/>
            </c:ext>
          </c:extLst>
        </c:ser>
        <c:ser>
          <c:idx val="3"/>
          <c:order val="1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additions!$A$7:$A$27</c:f>
              <c:numCache>
                <c:formatCode>General</c:formatCode>
                <c:ptCount val="2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</c:numCache>
            </c:numRef>
          </c:xVal>
          <c:yVal>
            <c:numRef>
              <c:f>additions!$S$7:$S$27</c:f>
              <c:numCache>
                <c:formatCode>General</c:formatCode>
                <c:ptCount val="21"/>
                <c:pt idx="14" formatCode="0">
                  <c:v>4609.1374999999998</c:v>
                </c:pt>
                <c:pt idx="15" formatCode="0">
                  <c:v>5393.3033333333333</c:v>
                </c:pt>
                <c:pt idx="16" formatCode="0">
                  <c:v>6614.0426666666663</c:v>
                </c:pt>
                <c:pt idx="17" formatCode="0">
                  <c:v>7834.7820000000002</c:v>
                </c:pt>
                <c:pt idx="18" formatCode="0">
                  <c:v>9055.521333333334</c:v>
                </c:pt>
                <c:pt idx="19" formatCode="0">
                  <c:v>10276.260666666667</c:v>
                </c:pt>
                <c:pt idx="20" formatCode="0">
                  <c:v>11497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89E9-4203-A7A1-9F355ECBB89F}"/>
            </c:ext>
          </c:extLst>
        </c:ser>
        <c:ser>
          <c:idx val="1"/>
          <c:order val="2"/>
          <c:marker>
            <c:symbol val="none"/>
          </c:marker>
          <c:xVal>
            <c:numRef>
              <c:f>additions!$A$7:$A$27</c:f>
              <c:numCache>
                <c:formatCode>General</c:formatCode>
                <c:ptCount val="2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</c:numCache>
            </c:numRef>
          </c:xVal>
          <c:yVal>
            <c:numRef>
              <c:f>additions!$Q$7:$Q$27</c:f>
              <c:numCache>
                <c:formatCode>0</c:formatCode>
                <c:ptCount val="21"/>
                <c:pt idx="0">
                  <c:v>214.7399999999999</c:v>
                </c:pt>
                <c:pt idx="1">
                  <c:v>280.53999999999991</c:v>
                </c:pt>
                <c:pt idx="2">
                  <c:v>353.01950000000005</c:v>
                </c:pt>
                <c:pt idx="3">
                  <c:v>418.69699999999898</c:v>
                </c:pt>
                <c:pt idx="4">
                  <c:v>505.71550000000002</c:v>
                </c:pt>
                <c:pt idx="5">
                  <c:v>618.65899999999897</c:v>
                </c:pt>
                <c:pt idx="6">
                  <c:v>741.22149999999999</c:v>
                </c:pt>
                <c:pt idx="7">
                  <c:v>881.02549999999997</c:v>
                </c:pt>
                <c:pt idx="8">
                  <c:v>1022.7659999999991</c:v>
                </c:pt>
                <c:pt idx="9">
                  <c:v>1186.125</c:v>
                </c:pt>
                <c:pt idx="10">
                  <c:v>1421.6704999999999</c:v>
                </c:pt>
                <c:pt idx="11">
                  <c:v>1655.2930000000001</c:v>
                </c:pt>
                <c:pt idx="12">
                  <c:v>1920.43749999999</c:v>
                </c:pt>
                <c:pt idx="13">
                  <c:v>2395.018</c:v>
                </c:pt>
                <c:pt idx="14">
                  <c:v>2967.1374999999998</c:v>
                </c:pt>
                <c:pt idx="15">
                  <c:v>3680.4700000000003</c:v>
                </c:pt>
                <c:pt idx="16">
                  <c:v>4830.3760000000002</c:v>
                </c:pt>
                <c:pt idx="17">
                  <c:v>5980.2820000000002</c:v>
                </c:pt>
                <c:pt idx="18">
                  <c:v>7130.1880000000001</c:v>
                </c:pt>
                <c:pt idx="19">
                  <c:v>8280.094000000001</c:v>
                </c:pt>
                <c:pt idx="20">
                  <c:v>9430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9E9-4203-A7A1-9F355ECBB89F}"/>
            </c:ext>
          </c:extLst>
        </c:ser>
        <c:ser>
          <c:idx val="0"/>
          <c:order val="3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additions!$A$7:$A$27</c:f>
              <c:numCache>
                <c:formatCode>General</c:formatCode>
                <c:ptCount val="2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</c:numCache>
            </c:numRef>
          </c:xVal>
          <c:yVal>
            <c:numRef>
              <c:f>additions!$S$7:$S$27</c:f>
              <c:numCache>
                <c:formatCode>General</c:formatCode>
                <c:ptCount val="21"/>
                <c:pt idx="14" formatCode="0">
                  <c:v>4609.1374999999998</c:v>
                </c:pt>
                <c:pt idx="15" formatCode="0">
                  <c:v>5393.3033333333333</c:v>
                </c:pt>
                <c:pt idx="16" formatCode="0">
                  <c:v>6614.0426666666663</c:v>
                </c:pt>
                <c:pt idx="17" formatCode="0">
                  <c:v>7834.7820000000002</c:v>
                </c:pt>
                <c:pt idx="18" formatCode="0">
                  <c:v>9055.521333333334</c:v>
                </c:pt>
                <c:pt idx="19" formatCode="0">
                  <c:v>10276.260666666667</c:v>
                </c:pt>
                <c:pt idx="20" formatCode="0">
                  <c:v>11497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89E9-4203-A7A1-9F355ECBB8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5096672"/>
        <c:axId val="1785094752"/>
      </c:scatterChart>
      <c:valAx>
        <c:axId val="1785096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5094752"/>
        <c:crosses val="autoZero"/>
        <c:crossBetween val="midCat"/>
      </c:valAx>
      <c:valAx>
        <c:axId val="1785094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5096672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3811545072509399E-2"/>
          <c:y val="0.16858322047619409"/>
          <c:w val="0.89481468153521737"/>
          <c:h val="0.71074084722295783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additions!$A$32:$A$52</c:f>
              <c:numCache>
                <c:formatCode>General</c:formatCode>
                <c:ptCount val="2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</c:numCache>
            </c:numRef>
          </c:xVal>
          <c:yVal>
            <c:numRef>
              <c:f>additions!$K$32:$K$52</c:f>
              <c:numCache>
                <c:formatCode>0</c:formatCode>
                <c:ptCount val="21"/>
                <c:pt idx="0">
                  <c:v>33.489999999999903</c:v>
                </c:pt>
                <c:pt idx="1">
                  <c:v>60.1799999999999</c:v>
                </c:pt>
                <c:pt idx="2">
                  <c:v>85.739500000000007</c:v>
                </c:pt>
                <c:pt idx="3">
                  <c:v>118.506999999999</c:v>
                </c:pt>
                <c:pt idx="4">
                  <c:v>155.91550000000001</c:v>
                </c:pt>
                <c:pt idx="5">
                  <c:v>203.26899999999901</c:v>
                </c:pt>
                <c:pt idx="6">
                  <c:v>273.69150000000002</c:v>
                </c:pt>
                <c:pt idx="7">
                  <c:v>365.8655</c:v>
                </c:pt>
                <c:pt idx="8">
                  <c:v>457.945999999999</c:v>
                </c:pt>
                <c:pt idx="9">
                  <c:v>562.27499999999998</c:v>
                </c:pt>
                <c:pt idx="10">
                  <c:v>689.63049999999998</c:v>
                </c:pt>
                <c:pt idx="11">
                  <c:v>830.43299999999999</c:v>
                </c:pt>
                <c:pt idx="12">
                  <c:v>1019.44749999999</c:v>
                </c:pt>
                <c:pt idx="13">
                  <c:v>1379.4480000000001</c:v>
                </c:pt>
                <c:pt idx="14">
                  <c:v>1836.4675</c:v>
                </c:pt>
                <c:pt idx="15">
                  <c:v>2745</c:v>
                </c:pt>
                <c:pt idx="16">
                  <c:v>3362.6250000000005</c:v>
                </c:pt>
                <c:pt idx="17">
                  <c:v>4085.5893750000009</c:v>
                </c:pt>
                <c:pt idx="18">
                  <c:v>4841.423409375001</c:v>
                </c:pt>
                <c:pt idx="19">
                  <c:v>5688.6725060156268</c:v>
                </c:pt>
                <c:pt idx="20">
                  <c:v>6699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168-4967-B3AD-529B57CC85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5096672"/>
        <c:axId val="1785094752"/>
      </c:scatterChart>
      <c:valAx>
        <c:axId val="1785096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5094752"/>
        <c:crosses val="autoZero"/>
        <c:crossBetween val="midCat"/>
      </c:valAx>
      <c:valAx>
        <c:axId val="1785094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50966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additions!$J$72:$J$82</c:f>
              <c:numCache>
                <c:formatCode>General</c:formatCode>
                <c:ptCount val="1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</c:numCache>
            </c:numRef>
          </c:xVal>
          <c:yVal>
            <c:numRef>
              <c:f>additions!$K$72:$K$82</c:f>
              <c:numCache>
                <c:formatCode>0</c:formatCode>
                <c:ptCount val="11"/>
                <c:pt idx="0">
                  <c:v>689.63049999999998</c:v>
                </c:pt>
                <c:pt idx="1">
                  <c:v>830.43299999999999</c:v>
                </c:pt>
                <c:pt idx="2">
                  <c:v>1019.44749999999</c:v>
                </c:pt>
                <c:pt idx="3">
                  <c:v>1379.4480000000001</c:v>
                </c:pt>
                <c:pt idx="4">
                  <c:v>1836.4675</c:v>
                </c:pt>
                <c:pt idx="5">
                  <c:v>2395.13</c:v>
                </c:pt>
                <c:pt idx="6">
                  <c:v>3009.6587500000001</c:v>
                </c:pt>
                <c:pt idx="7">
                  <c:v>3685.6403749999999</c:v>
                </c:pt>
                <c:pt idx="8">
                  <c:v>4429.2201624999998</c:v>
                </c:pt>
                <c:pt idx="9">
                  <c:v>5247.1579287499999</c:v>
                </c:pt>
                <c:pt idx="10">
                  <c:v>5694.15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4CC-458E-8D80-572DEFEAC8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4856432"/>
        <c:axId val="1614858352"/>
      </c:scatterChart>
      <c:valAx>
        <c:axId val="1614856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4858352"/>
        <c:crosses val="autoZero"/>
        <c:crossBetween val="midCat"/>
      </c:valAx>
      <c:valAx>
        <c:axId val="1614858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48564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additions!$A$72:$A$82</c:f>
              <c:numCache>
                <c:formatCode>General</c:formatCode>
                <c:ptCount val="1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</c:numCache>
            </c:numRef>
          </c:xVal>
          <c:yVal>
            <c:numRef>
              <c:f>additions!$E$72:$E$82</c:f>
              <c:numCache>
                <c:formatCode>0</c:formatCode>
                <c:ptCount val="11"/>
                <c:pt idx="0">
                  <c:v>108.19</c:v>
                </c:pt>
                <c:pt idx="1">
                  <c:v>92.81</c:v>
                </c:pt>
                <c:pt idx="2">
                  <c:v>76.14</c:v>
                </c:pt>
                <c:pt idx="3">
                  <c:v>114.57</c:v>
                </c:pt>
                <c:pt idx="4">
                  <c:v>115.1</c:v>
                </c:pt>
                <c:pt idx="5">
                  <c:v>154.66</c:v>
                </c:pt>
                <c:pt idx="6">
                  <c:v>187.1386</c:v>
                </c:pt>
                <c:pt idx="7">
                  <c:v>226.43770599999999</c:v>
                </c:pt>
                <c:pt idx="8">
                  <c:v>273.98962425999997</c:v>
                </c:pt>
                <c:pt idx="9">
                  <c:v>331.52744535459993</c:v>
                </c:pt>
                <c:pt idx="10">
                  <c:v>401.14820887906592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656-4719-97DD-76025C1D7391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additions!$A$72:$A$82</c:f>
              <c:numCache>
                <c:formatCode>General</c:formatCode>
                <c:ptCount val="1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</c:numCache>
            </c:numRef>
          </c:xVal>
          <c:yVal>
            <c:numRef>
              <c:f>additions!$F$72:$F$82</c:f>
              <c:numCache>
                <c:formatCode>0</c:formatCode>
                <c:ptCount val="11"/>
                <c:pt idx="0">
                  <c:v>102.06</c:v>
                </c:pt>
                <c:pt idx="1">
                  <c:v>72.88</c:v>
                </c:pt>
                <c:pt idx="2">
                  <c:v>65.81</c:v>
                </c:pt>
                <c:pt idx="3">
                  <c:v>105.41</c:v>
                </c:pt>
                <c:pt idx="4">
                  <c:v>105.88</c:v>
                </c:pt>
                <c:pt idx="5">
                  <c:v>139</c:v>
                </c:pt>
                <c:pt idx="6">
                  <c:v>172.16751200000002</c:v>
                </c:pt>
                <c:pt idx="7">
                  <c:v>208.32268952000001</c:v>
                </c:pt>
                <c:pt idx="8">
                  <c:v>252.0704543192</c:v>
                </c:pt>
                <c:pt idx="9">
                  <c:v>305.00524972623197</c:v>
                </c:pt>
                <c:pt idx="10">
                  <c:v>369.05635216874066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656-4719-97DD-76025C1D7391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additions!$A$72:$A$82</c:f>
              <c:numCache>
                <c:formatCode>General</c:formatCode>
                <c:ptCount val="1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</c:numCache>
            </c:numRef>
          </c:xVal>
          <c:yVal>
            <c:numRef>
              <c:f>additions!$G$72:$G$82</c:f>
              <c:numCache>
                <c:formatCode>0</c:formatCode>
                <c:ptCount val="11"/>
                <c:pt idx="0">
                  <c:v>6.13</c:v>
                </c:pt>
                <c:pt idx="1">
                  <c:v>19.93</c:v>
                </c:pt>
                <c:pt idx="2">
                  <c:v>10.33</c:v>
                </c:pt>
                <c:pt idx="3">
                  <c:v>9.16</c:v>
                </c:pt>
                <c:pt idx="4">
                  <c:v>9.2200000000000006</c:v>
                </c:pt>
                <c:pt idx="5">
                  <c:v>15.66</c:v>
                </c:pt>
                <c:pt idx="6">
                  <c:v>14.97108799999998</c:v>
                </c:pt>
                <c:pt idx="7">
                  <c:v>18.11501647999998</c:v>
                </c:pt>
                <c:pt idx="8">
                  <c:v>21.919169940799975</c:v>
                </c:pt>
                <c:pt idx="9">
                  <c:v>26.522195628367967</c:v>
                </c:pt>
                <c:pt idx="10">
                  <c:v>32.09185671032526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656-4719-97DD-76025C1D73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5819952"/>
        <c:axId val="1682053248"/>
      </c:scatterChart>
      <c:valAx>
        <c:axId val="1615819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053248"/>
        <c:crosses val="autoZero"/>
        <c:crossBetween val="midCat"/>
      </c:valAx>
      <c:valAx>
        <c:axId val="1682053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58199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544</xdr:colOff>
      <xdr:row>1</xdr:row>
      <xdr:rowOff>15103</xdr:rowOff>
    </xdr:from>
    <xdr:to>
      <xdr:col>31</xdr:col>
      <xdr:colOff>502648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131641-1AAF-7DB3-3B55-0F1F3EAECE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482511</xdr:colOff>
      <xdr:row>30</xdr:row>
      <xdr:rowOff>96066</xdr:rowOff>
    </xdr:from>
    <xdr:to>
      <xdr:col>31</xdr:col>
      <xdr:colOff>326571</xdr:colOff>
      <xdr:row>56</xdr:row>
      <xdr:rowOff>27214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AC966D9-DA77-49D7-B9F0-3243E6BEC9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353786</xdr:colOff>
      <xdr:row>60</xdr:row>
      <xdr:rowOff>28711</xdr:rowOff>
    </xdr:from>
    <xdr:to>
      <xdr:col>24</xdr:col>
      <xdr:colOff>48986</xdr:colOff>
      <xdr:row>74</xdr:row>
      <xdr:rowOff>104911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8A110F87-086F-35F6-518B-69925DEE3E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24</xdr:col>
      <xdr:colOff>342900</xdr:colOff>
      <xdr:row>60</xdr:row>
      <xdr:rowOff>83139</xdr:rowOff>
    </xdr:from>
    <xdr:to>
      <xdr:col>32</xdr:col>
      <xdr:colOff>38100</xdr:colOff>
      <xdr:row>74</xdr:row>
      <xdr:rowOff>159339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3B1FF878-EC6C-4DA8-08E4-541B3B4FD6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F5C34-951E-4D38-B3E7-3ECB10372AC8}">
  <dimension ref="A1:T48"/>
  <sheetViews>
    <sheetView workbookViewId="0">
      <selection activeCell="U12" sqref="U12"/>
    </sheetView>
  </sheetViews>
  <sheetFormatPr defaultRowHeight="15" x14ac:dyDescent="0.25"/>
  <cols>
    <col min="10" max="15" width="7.85546875" customWidth="1"/>
  </cols>
  <sheetData>
    <row r="1" spans="1:19" ht="75" x14ac:dyDescent="0.25">
      <c r="A1" s="1"/>
      <c r="B1" s="1" t="s">
        <v>0</v>
      </c>
      <c r="C1" s="1" t="s">
        <v>1</v>
      </c>
      <c r="J1" s="10" t="s">
        <v>15</v>
      </c>
      <c r="K1" s="10" t="s">
        <v>14</v>
      </c>
      <c r="L1" s="10" t="s">
        <v>16</v>
      </c>
      <c r="M1" s="10" t="s">
        <v>17</v>
      </c>
      <c r="N1" s="10" t="s">
        <v>28</v>
      </c>
      <c r="O1" s="10" t="s">
        <v>29</v>
      </c>
    </row>
    <row r="2" spans="1:19" x14ac:dyDescent="0.25">
      <c r="A2" s="1">
        <v>2015</v>
      </c>
      <c r="B2" s="1">
        <v>150.06</v>
      </c>
      <c r="C2" s="1"/>
      <c r="D2">
        <f>SUM(B2:C2)</f>
        <v>150.06</v>
      </c>
      <c r="E2">
        <v>1867</v>
      </c>
      <c r="I2" s="1">
        <v>2015</v>
      </c>
    </row>
    <row r="3" spans="1:19" x14ac:dyDescent="0.25">
      <c r="A3" s="1">
        <v>2016</v>
      </c>
      <c r="B3" s="1">
        <v>165.24</v>
      </c>
      <c r="C3" s="1"/>
      <c r="D3">
        <f t="shared" ref="D3:D17" si="0">SUM(B3:C3)</f>
        <v>165.24</v>
      </c>
      <c r="E3">
        <f>E2+D3</f>
        <v>2032.24</v>
      </c>
      <c r="I3" s="1">
        <v>2016</v>
      </c>
    </row>
    <row r="4" spans="1:19" x14ac:dyDescent="0.25">
      <c r="A4" s="1">
        <v>2017</v>
      </c>
      <c r="B4" s="1">
        <v>164.75</v>
      </c>
      <c r="C4" s="1"/>
      <c r="D4">
        <f t="shared" si="0"/>
        <v>164.75</v>
      </c>
      <c r="E4">
        <f t="shared" ref="E4:E16" si="1">E3+D4</f>
        <v>2196.9899999999998</v>
      </c>
      <c r="I4" s="1">
        <v>2017</v>
      </c>
    </row>
    <row r="5" spans="1:19" x14ac:dyDescent="0.25">
      <c r="A5" s="1">
        <v>2018</v>
      </c>
      <c r="B5" s="1">
        <v>164.27</v>
      </c>
      <c r="C5" s="1"/>
      <c r="D5">
        <f t="shared" si="0"/>
        <v>164.27</v>
      </c>
      <c r="E5">
        <f t="shared" si="1"/>
        <v>2361.2599999999998</v>
      </c>
      <c r="I5" s="1">
        <v>2018</v>
      </c>
    </row>
    <row r="6" spans="1:19" x14ac:dyDescent="0.25">
      <c r="A6" s="1">
        <v>2019</v>
      </c>
      <c r="B6" s="1">
        <v>178.86</v>
      </c>
      <c r="C6" s="1"/>
      <c r="D6">
        <f t="shared" si="0"/>
        <v>178.86</v>
      </c>
      <c r="E6">
        <f t="shared" si="1"/>
        <v>2540.12</v>
      </c>
      <c r="I6" s="1">
        <v>2019</v>
      </c>
    </row>
    <row r="7" spans="1:19" x14ac:dyDescent="0.25">
      <c r="A7" s="1">
        <v>2020</v>
      </c>
      <c r="B7" s="1">
        <v>263.93</v>
      </c>
      <c r="C7" s="1"/>
      <c r="D7">
        <f t="shared" si="0"/>
        <v>263.93</v>
      </c>
      <c r="E7">
        <f t="shared" si="1"/>
        <v>2804.0499999999997</v>
      </c>
      <c r="I7" s="1">
        <v>2020</v>
      </c>
    </row>
    <row r="8" spans="1:19" x14ac:dyDescent="0.25">
      <c r="A8" s="1">
        <v>2021</v>
      </c>
      <c r="B8" s="1">
        <v>261.24</v>
      </c>
      <c r="C8" s="1"/>
      <c r="D8">
        <f t="shared" si="0"/>
        <v>261.24</v>
      </c>
      <c r="E8">
        <f t="shared" si="1"/>
        <v>3065.29</v>
      </c>
      <c r="I8" s="1">
        <v>2021</v>
      </c>
    </row>
    <row r="9" spans="1:19" x14ac:dyDescent="0.25">
      <c r="A9" s="1">
        <v>2022</v>
      </c>
      <c r="B9" s="1">
        <v>306.47000000000003</v>
      </c>
      <c r="C9" s="1"/>
      <c r="D9">
        <f t="shared" si="0"/>
        <v>306.47000000000003</v>
      </c>
      <c r="E9">
        <f t="shared" si="1"/>
        <v>3371.76</v>
      </c>
      <c r="I9" s="1">
        <v>2022</v>
      </c>
      <c r="K9">
        <v>3684</v>
      </c>
      <c r="L9">
        <v>1185</v>
      </c>
      <c r="M9">
        <v>899</v>
      </c>
      <c r="N9">
        <v>1398</v>
      </c>
      <c r="O9">
        <v>202</v>
      </c>
    </row>
    <row r="10" spans="1:19" x14ac:dyDescent="0.25">
      <c r="A10" s="1">
        <v>2023</v>
      </c>
      <c r="B10" s="1">
        <v>486.4</v>
      </c>
      <c r="C10" s="1"/>
      <c r="D10">
        <f t="shared" si="0"/>
        <v>486.4</v>
      </c>
      <c r="E10">
        <f t="shared" si="1"/>
        <v>3858.1600000000003</v>
      </c>
      <c r="I10" s="1">
        <v>2023</v>
      </c>
      <c r="J10">
        <f>K10-K9</f>
        <v>562</v>
      </c>
      <c r="K10">
        <v>4246</v>
      </c>
      <c r="L10">
        <v>1610</v>
      </c>
      <c r="M10">
        <v>1016</v>
      </c>
      <c r="N10">
        <v>1410</v>
      </c>
      <c r="O10">
        <v>198</v>
      </c>
    </row>
    <row r="11" spans="1:19" x14ac:dyDescent="0.25">
      <c r="A11" s="1">
        <v>2024</v>
      </c>
      <c r="B11" s="1">
        <v>582</v>
      </c>
      <c r="C11" s="1"/>
      <c r="D11">
        <f t="shared" si="0"/>
        <v>582</v>
      </c>
      <c r="E11">
        <f t="shared" si="1"/>
        <v>4440.16</v>
      </c>
      <c r="I11" s="1">
        <v>2024</v>
      </c>
      <c r="J11">
        <f>K11-K10</f>
        <v>689</v>
      </c>
      <c r="K11">
        <v>4935</v>
      </c>
      <c r="L11">
        <v>2164</v>
      </c>
      <c r="M11">
        <v>1131</v>
      </c>
      <c r="N11">
        <v>1437</v>
      </c>
      <c r="O11">
        <v>205</v>
      </c>
      <c r="P11">
        <f>SUM(N11:O11)</f>
        <v>1642</v>
      </c>
    </row>
    <row r="12" spans="1:19" x14ac:dyDescent="0.25">
      <c r="A12" s="1">
        <v>2025</v>
      </c>
      <c r="B12" s="1">
        <v>692</v>
      </c>
      <c r="D12">
        <f>SUM(B12:B12)</f>
        <v>692</v>
      </c>
      <c r="E12">
        <f t="shared" si="1"/>
        <v>5132.16</v>
      </c>
      <c r="I12" s="1">
        <v>2025</v>
      </c>
      <c r="J12">
        <f>K12-K11</f>
        <v>799.00000000000091</v>
      </c>
      <c r="K12">
        <f>SUM(L12:O12)</f>
        <v>5734.0000000000009</v>
      </c>
      <c r="L12">
        <f>L11+605</f>
        <v>2769</v>
      </c>
      <c r="M12">
        <f>M11+159</f>
        <v>1290</v>
      </c>
      <c r="N12" s="2">
        <f>(N11/SUM(N11:O11))*(P12-P11)+N11</f>
        <v>1465.880024360536</v>
      </c>
      <c r="O12" s="2">
        <f>(O11/SUM(N11:O11))*(P12-P11)+O11</f>
        <v>209.11997563946406</v>
      </c>
      <c r="P12">
        <f>SUM(N11:O11)+33</f>
        <v>1675</v>
      </c>
      <c r="R12">
        <f>L12*0.85</f>
        <v>2353.65</v>
      </c>
      <c r="S12">
        <f>L12-R12</f>
        <v>415.34999999999991</v>
      </c>
    </row>
    <row r="13" spans="1:19" x14ac:dyDescent="0.25">
      <c r="A13" s="1">
        <v>2026</v>
      </c>
      <c r="B13" s="1"/>
      <c r="C13" s="1">
        <v>850</v>
      </c>
      <c r="D13">
        <f>SUM(B13:C13)</f>
        <v>850</v>
      </c>
      <c r="E13">
        <f>E12+D13</f>
        <v>5982.16</v>
      </c>
      <c r="I13" s="1">
        <v>2026</v>
      </c>
    </row>
    <row r="14" spans="1:19" x14ac:dyDescent="0.25">
      <c r="A14" s="1">
        <v>2027</v>
      </c>
      <c r="B14" s="1"/>
      <c r="C14" s="1">
        <v>985</v>
      </c>
      <c r="D14">
        <f t="shared" si="0"/>
        <v>985</v>
      </c>
      <c r="E14">
        <f t="shared" si="1"/>
        <v>6967.16</v>
      </c>
      <c r="I14" s="1">
        <v>2027</v>
      </c>
    </row>
    <row r="15" spans="1:19" x14ac:dyDescent="0.25">
      <c r="A15" s="1">
        <v>2028</v>
      </c>
      <c r="B15" s="1"/>
      <c r="C15" s="1">
        <v>1150</v>
      </c>
      <c r="D15">
        <f t="shared" si="0"/>
        <v>1150</v>
      </c>
      <c r="E15">
        <f t="shared" si="1"/>
        <v>8117.16</v>
      </c>
      <c r="I15" s="1">
        <v>2028</v>
      </c>
    </row>
    <row r="16" spans="1:19" x14ac:dyDescent="0.25">
      <c r="A16" s="1">
        <v>2029</v>
      </c>
      <c r="B16" s="1"/>
      <c r="C16" s="1">
        <v>1335</v>
      </c>
      <c r="D16">
        <f t="shared" si="0"/>
        <v>1335</v>
      </c>
      <c r="E16">
        <f t="shared" si="1"/>
        <v>9452.16</v>
      </c>
      <c r="I16" s="1">
        <v>2029</v>
      </c>
    </row>
    <row r="17" spans="1:20" x14ac:dyDescent="0.25">
      <c r="A17" s="1">
        <v>2030</v>
      </c>
      <c r="B17" s="1"/>
      <c r="C17" s="1">
        <v>1555</v>
      </c>
      <c r="D17">
        <f t="shared" si="0"/>
        <v>1555</v>
      </c>
      <c r="E17">
        <f>E16+D17</f>
        <v>11007.16</v>
      </c>
      <c r="I17" s="1">
        <v>2030</v>
      </c>
      <c r="K17">
        <v>11495</v>
      </c>
      <c r="L17">
        <v>6699</v>
      </c>
      <c r="M17">
        <v>2731</v>
      </c>
      <c r="N17">
        <v>1697</v>
      </c>
      <c r="O17">
        <v>383</v>
      </c>
      <c r="R17">
        <f>L17*0.85</f>
        <v>5694.15</v>
      </c>
      <c r="S17">
        <f>L17-R17</f>
        <v>1004.8500000000004</v>
      </c>
      <c r="T17">
        <f>K17-S17</f>
        <v>10490.15</v>
      </c>
    </row>
    <row r="19" spans="1:20" x14ac:dyDescent="0.25">
      <c r="C19">
        <f>SUM(C13:C17)</f>
        <v>5875</v>
      </c>
      <c r="K19">
        <f>K17-K12</f>
        <v>5760.9999999999991</v>
      </c>
      <c r="M19">
        <f>SUM(L17:N17)</f>
        <v>11127</v>
      </c>
    </row>
    <row r="20" spans="1:20" x14ac:dyDescent="0.25">
      <c r="K20">
        <f>K19-5093</f>
        <v>667.99999999999909</v>
      </c>
      <c r="M20" s="2">
        <f>M19-SUM(L12:N12)</f>
        <v>5602.1199756394635</v>
      </c>
    </row>
    <row r="21" spans="1:20" x14ac:dyDescent="0.25">
      <c r="M21" s="2">
        <f>M20-5093</f>
        <v>509.11997563946352</v>
      </c>
    </row>
    <row r="22" spans="1:20" x14ac:dyDescent="0.25">
      <c r="C22">
        <v>5093.5</v>
      </c>
      <c r="E22" s="1"/>
      <c r="F22" s="1"/>
    </row>
    <row r="23" spans="1:20" x14ac:dyDescent="0.25">
      <c r="C23">
        <f>C19-C22</f>
        <v>781.5</v>
      </c>
      <c r="E23" s="1"/>
      <c r="F23" s="1"/>
      <c r="I23" t="s">
        <v>18</v>
      </c>
      <c r="J23">
        <v>2010</v>
      </c>
      <c r="K23">
        <v>2023</v>
      </c>
      <c r="L23">
        <v>2024</v>
      </c>
      <c r="M23">
        <v>2035</v>
      </c>
      <c r="O23" t="s">
        <v>18</v>
      </c>
      <c r="P23">
        <v>2010</v>
      </c>
      <c r="Q23">
        <v>2022</v>
      </c>
      <c r="R23">
        <v>2023</v>
      </c>
      <c r="S23">
        <v>2030</v>
      </c>
    </row>
    <row r="24" spans="1:20" x14ac:dyDescent="0.25">
      <c r="E24" s="1"/>
      <c r="F24" s="1"/>
      <c r="I24" t="s">
        <v>19</v>
      </c>
      <c r="J24">
        <v>5254</v>
      </c>
      <c r="K24">
        <v>9441</v>
      </c>
      <c r="L24">
        <v>10249</v>
      </c>
      <c r="M24">
        <v>26552</v>
      </c>
      <c r="O24" t="s">
        <v>19</v>
      </c>
      <c r="P24">
        <v>5259</v>
      </c>
      <c r="Q24">
        <v>8768</v>
      </c>
      <c r="R24">
        <v>9436</v>
      </c>
      <c r="S24">
        <v>17093</v>
      </c>
    </row>
    <row r="25" spans="1:20" x14ac:dyDescent="0.25">
      <c r="E25" s="1"/>
      <c r="F25" s="1"/>
      <c r="I25" t="s">
        <v>20</v>
      </c>
      <c r="J25">
        <v>1332</v>
      </c>
      <c r="K25">
        <v>4249</v>
      </c>
      <c r="L25">
        <v>4935</v>
      </c>
      <c r="M25">
        <v>19601</v>
      </c>
      <c r="O25" t="s">
        <v>20</v>
      </c>
      <c r="P25">
        <v>1334</v>
      </c>
      <c r="Q25">
        <v>3684</v>
      </c>
      <c r="R25">
        <v>4246</v>
      </c>
      <c r="S25">
        <v>11495</v>
      </c>
    </row>
    <row r="26" spans="1:20" x14ac:dyDescent="0.25">
      <c r="E26" s="1"/>
      <c r="F26" s="1"/>
      <c r="I26" t="s">
        <v>21</v>
      </c>
      <c r="J26">
        <v>40</v>
      </c>
      <c r="K26">
        <v>1625</v>
      </c>
      <c r="L26">
        <v>2164</v>
      </c>
      <c r="M26">
        <v>12499</v>
      </c>
      <c r="O26" t="s">
        <v>21</v>
      </c>
      <c r="P26">
        <v>40</v>
      </c>
      <c r="Q26">
        <v>1185</v>
      </c>
      <c r="R26">
        <v>1610</v>
      </c>
      <c r="S26">
        <v>6699</v>
      </c>
    </row>
    <row r="27" spans="1:20" x14ac:dyDescent="0.25">
      <c r="I27" t="s">
        <v>7</v>
      </c>
      <c r="J27">
        <v>181</v>
      </c>
      <c r="K27">
        <v>1016</v>
      </c>
      <c r="L27">
        <v>1131</v>
      </c>
      <c r="M27">
        <v>4494</v>
      </c>
      <c r="O27" t="s">
        <v>7</v>
      </c>
      <c r="P27">
        <v>181</v>
      </c>
      <c r="Q27">
        <v>899</v>
      </c>
      <c r="R27">
        <v>1015</v>
      </c>
      <c r="S27">
        <v>2731</v>
      </c>
    </row>
    <row r="28" spans="1:20" x14ac:dyDescent="0.25">
      <c r="I28" t="s">
        <v>11</v>
      </c>
      <c r="J28">
        <v>1026</v>
      </c>
      <c r="K28">
        <v>1410</v>
      </c>
      <c r="L28">
        <v>1437</v>
      </c>
      <c r="M28">
        <v>2037</v>
      </c>
      <c r="O28" t="s">
        <v>11</v>
      </c>
      <c r="P28">
        <v>1028</v>
      </c>
      <c r="Q28">
        <v>1398</v>
      </c>
      <c r="R28">
        <v>1411</v>
      </c>
      <c r="S28">
        <v>1697</v>
      </c>
    </row>
    <row r="29" spans="1:20" x14ac:dyDescent="0.25">
      <c r="I29" t="s">
        <v>22</v>
      </c>
      <c r="J29">
        <v>73</v>
      </c>
      <c r="K29">
        <v>175</v>
      </c>
      <c r="L29">
        <v>181</v>
      </c>
      <c r="M29">
        <v>413</v>
      </c>
      <c r="O29" t="s">
        <v>22</v>
      </c>
      <c r="P29">
        <v>74</v>
      </c>
      <c r="Q29">
        <v>180</v>
      </c>
      <c r="R29">
        <v>188</v>
      </c>
      <c r="S29">
        <v>292</v>
      </c>
    </row>
    <row r="30" spans="1:20" x14ac:dyDescent="0.25">
      <c r="I30" t="s">
        <v>23</v>
      </c>
      <c r="J30" t="s">
        <v>24</v>
      </c>
      <c r="K30" t="s">
        <v>24</v>
      </c>
      <c r="L30" t="s">
        <v>24</v>
      </c>
      <c r="M30">
        <v>63</v>
      </c>
      <c r="O30" t="s">
        <v>23</v>
      </c>
      <c r="P30" t="s">
        <v>24</v>
      </c>
      <c r="Q30" t="s">
        <v>24</v>
      </c>
      <c r="R30" t="s">
        <v>24</v>
      </c>
      <c r="S30">
        <v>13</v>
      </c>
    </row>
    <row r="31" spans="1:20" x14ac:dyDescent="0.25">
      <c r="I31" t="s">
        <v>25</v>
      </c>
      <c r="J31">
        <v>1</v>
      </c>
      <c r="K31">
        <v>7</v>
      </c>
      <c r="L31">
        <v>8</v>
      </c>
      <c r="M31">
        <v>91</v>
      </c>
      <c r="O31" t="s">
        <v>25</v>
      </c>
      <c r="P31">
        <v>1</v>
      </c>
      <c r="Q31">
        <v>6</v>
      </c>
      <c r="R31">
        <v>7</v>
      </c>
      <c r="S31">
        <v>35</v>
      </c>
    </row>
    <row r="32" spans="1:20" x14ac:dyDescent="0.25">
      <c r="I32" t="s">
        <v>26</v>
      </c>
      <c r="J32">
        <v>10</v>
      </c>
      <c r="K32">
        <v>15</v>
      </c>
      <c r="L32">
        <v>15</v>
      </c>
      <c r="M32">
        <v>57</v>
      </c>
      <c r="O32" t="s">
        <v>26</v>
      </c>
      <c r="P32">
        <v>10</v>
      </c>
      <c r="Q32">
        <v>15</v>
      </c>
      <c r="R32">
        <v>15</v>
      </c>
      <c r="S32">
        <v>39</v>
      </c>
    </row>
    <row r="33" spans="9:19" x14ac:dyDescent="0.25">
      <c r="I33" t="s">
        <v>27</v>
      </c>
      <c r="J33">
        <v>0</v>
      </c>
      <c r="K33">
        <v>1</v>
      </c>
      <c r="L33">
        <v>1</v>
      </c>
      <c r="M33">
        <v>11</v>
      </c>
      <c r="O33" t="s">
        <v>27</v>
      </c>
      <c r="P33">
        <v>0</v>
      </c>
      <c r="Q33">
        <v>1</v>
      </c>
      <c r="R33">
        <v>1</v>
      </c>
      <c r="S33">
        <v>4</v>
      </c>
    </row>
    <row r="42" spans="9:19" x14ac:dyDescent="0.25">
      <c r="I42" s="11"/>
      <c r="J42" s="11"/>
    </row>
    <row r="43" spans="9:19" x14ac:dyDescent="0.25">
      <c r="I43" s="11"/>
      <c r="J43" s="11"/>
    </row>
    <row r="44" spans="9:19" x14ac:dyDescent="0.25">
      <c r="I44" s="11"/>
      <c r="J44" s="11"/>
    </row>
    <row r="45" spans="9:19" x14ac:dyDescent="0.25">
      <c r="I45" s="11"/>
      <c r="J45" s="11"/>
    </row>
    <row r="46" spans="9:19" x14ac:dyDescent="0.25">
      <c r="I46" s="11"/>
      <c r="J46" s="11"/>
    </row>
    <row r="47" spans="9:19" x14ac:dyDescent="0.25">
      <c r="I47" s="11"/>
      <c r="J47" s="11"/>
    </row>
    <row r="48" spans="9:19" x14ac:dyDescent="0.25">
      <c r="I48" s="11"/>
      <c r="J48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A7829-92DD-491D-9D03-157647D17055}">
  <dimension ref="A4:U84"/>
  <sheetViews>
    <sheetView tabSelected="1" topLeftCell="A7" zoomScale="70" zoomScaleNormal="70" workbookViewId="0">
      <selection activeCell="H35" sqref="H35"/>
    </sheetView>
  </sheetViews>
  <sheetFormatPr defaultRowHeight="15" x14ac:dyDescent="0.25"/>
  <cols>
    <col min="18" max="18" width="11" bestFit="1" customWidth="1"/>
  </cols>
  <sheetData>
    <row r="4" spans="1:19" x14ac:dyDescent="0.25">
      <c r="B4" s="6" t="s">
        <v>9</v>
      </c>
      <c r="C4" s="6"/>
      <c r="D4" s="6"/>
      <c r="E4" s="6"/>
      <c r="F4" s="6"/>
      <c r="G4" s="6"/>
      <c r="H4" s="6"/>
      <c r="K4" s="7" t="s">
        <v>13</v>
      </c>
      <c r="L4" s="7"/>
      <c r="M4" s="7"/>
      <c r="N4" s="7"/>
      <c r="O4" s="7"/>
      <c r="P4" s="7"/>
      <c r="Q4" s="7"/>
      <c r="R4" s="7"/>
      <c r="S4" s="7"/>
    </row>
    <row r="6" spans="1:19" x14ac:dyDescent="0.25">
      <c r="B6" t="s">
        <v>2</v>
      </c>
      <c r="C6" t="s">
        <v>3</v>
      </c>
      <c r="D6" t="s">
        <v>4</v>
      </c>
      <c r="E6" t="s">
        <v>7</v>
      </c>
      <c r="F6" t="s">
        <v>5</v>
      </c>
      <c r="G6" t="s">
        <v>6</v>
      </c>
      <c r="H6" t="s">
        <v>8</v>
      </c>
      <c r="K6" t="s">
        <v>2</v>
      </c>
      <c r="L6" t="s">
        <v>3</v>
      </c>
      <c r="M6" t="s">
        <v>4</v>
      </c>
      <c r="N6" t="s">
        <v>7</v>
      </c>
      <c r="O6" t="s">
        <v>5</v>
      </c>
      <c r="P6" t="s">
        <v>6</v>
      </c>
      <c r="Q6" t="s">
        <v>10</v>
      </c>
      <c r="R6" t="s">
        <v>11</v>
      </c>
      <c r="S6" t="s">
        <v>12</v>
      </c>
    </row>
    <row r="7" spans="1:19" x14ac:dyDescent="0.25">
      <c r="A7">
        <v>2010</v>
      </c>
      <c r="B7" s="2">
        <v>14.2119999999999</v>
      </c>
      <c r="C7" s="2">
        <v>3.8759999999999999</v>
      </c>
      <c r="D7" s="2">
        <v>10.327500000000001</v>
      </c>
      <c r="E7" s="2">
        <f>SUM(F7:G7)</f>
        <v>31.01</v>
      </c>
      <c r="F7" s="2">
        <v>29.89</v>
      </c>
      <c r="G7" s="2">
        <v>1.1200000000000001</v>
      </c>
      <c r="H7" s="2"/>
      <c r="I7" s="3"/>
      <c r="J7">
        <v>2010</v>
      </c>
      <c r="K7" s="2">
        <v>33.489999999999903</v>
      </c>
      <c r="L7" s="2">
        <v>6.7489999999999997</v>
      </c>
      <c r="M7" s="2">
        <v>26.741</v>
      </c>
      <c r="N7" s="2">
        <f>SUM(O7:P7)</f>
        <v>181.25</v>
      </c>
      <c r="O7" s="2">
        <v>177.96</v>
      </c>
      <c r="P7" s="2">
        <v>3.29</v>
      </c>
      <c r="Q7" s="2">
        <f>SUM(K7,N7)</f>
        <v>214.7399999999999</v>
      </c>
    </row>
    <row r="8" spans="1:19" x14ac:dyDescent="0.25">
      <c r="A8">
        <v>2011</v>
      </c>
      <c r="B8" s="2">
        <v>26.698499999999999</v>
      </c>
      <c r="C8" s="2">
        <v>9.2735000000000003</v>
      </c>
      <c r="D8" s="2">
        <v>17.416499999999999</v>
      </c>
      <c r="E8" s="2">
        <f t="shared" ref="E8:E22" si="0">SUM(F8:G8)</f>
        <v>39.11</v>
      </c>
      <c r="F8" s="2">
        <v>38.44</v>
      </c>
      <c r="G8" s="2">
        <v>0.67</v>
      </c>
      <c r="H8" s="2"/>
      <c r="I8" s="3"/>
      <c r="J8">
        <v>2011</v>
      </c>
      <c r="K8" s="2">
        <v>60.1799999999999</v>
      </c>
      <c r="L8" s="2">
        <v>16.022500000000001</v>
      </c>
      <c r="M8" s="2">
        <v>44.157499999999999</v>
      </c>
      <c r="N8" s="2">
        <f t="shared" ref="N8:N22" si="1">SUM(O8:P8)</f>
        <v>220.36</v>
      </c>
      <c r="O8" s="2">
        <v>216.4</v>
      </c>
      <c r="P8" s="2">
        <v>3.96</v>
      </c>
      <c r="Q8" s="2">
        <f t="shared" ref="Q8:Q26" si="2">SUM(K8,N8)</f>
        <v>280.53999999999991</v>
      </c>
    </row>
    <row r="9" spans="1:19" x14ac:dyDescent="0.25">
      <c r="A9">
        <v>2012</v>
      </c>
      <c r="B9" s="2">
        <v>25.550999999999998</v>
      </c>
      <c r="C9" s="2">
        <v>9.2650000000000006</v>
      </c>
      <c r="D9" s="2">
        <v>16.286000000000001</v>
      </c>
      <c r="E9" s="2">
        <f t="shared" si="0"/>
        <v>46.919999999999995</v>
      </c>
      <c r="F9" s="2">
        <v>45.16</v>
      </c>
      <c r="G9" s="2">
        <v>1.76</v>
      </c>
      <c r="H9" s="2"/>
      <c r="I9" s="3"/>
      <c r="J9">
        <v>2012</v>
      </c>
      <c r="K9" s="2">
        <v>85.739500000000007</v>
      </c>
      <c r="L9" s="2">
        <v>25.287499999999898</v>
      </c>
      <c r="M9" s="2">
        <v>60.4435</v>
      </c>
      <c r="N9" s="2">
        <f t="shared" si="1"/>
        <v>267.28000000000003</v>
      </c>
      <c r="O9" s="2">
        <v>261.56</v>
      </c>
      <c r="P9" s="2">
        <v>5.72</v>
      </c>
      <c r="Q9" s="2">
        <f t="shared" si="2"/>
        <v>353.01950000000005</v>
      </c>
    </row>
    <row r="10" spans="1:19" x14ac:dyDescent="0.25">
      <c r="A10">
        <v>2013</v>
      </c>
      <c r="B10" s="2">
        <v>32.767499999999998</v>
      </c>
      <c r="C10" s="2">
        <v>19.702999999999999</v>
      </c>
      <c r="D10" s="2">
        <v>13.064499999999899</v>
      </c>
      <c r="E10" s="2">
        <f t="shared" si="0"/>
        <v>32.92</v>
      </c>
      <c r="F10" s="2">
        <v>30.77</v>
      </c>
      <c r="G10" s="2">
        <v>2.15</v>
      </c>
      <c r="H10" s="2"/>
      <c r="I10" s="3"/>
      <c r="J10">
        <v>2013</v>
      </c>
      <c r="K10" s="2">
        <v>118.506999999999</v>
      </c>
      <c r="L10" s="2">
        <v>44.998999999999903</v>
      </c>
      <c r="M10" s="2">
        <v>73.507999999999996</v>
      </c>
      <c r="N10" s="2">
        <f t="shared" si="1"/>
        <v>300.19</v>
      </c>
      <c r="O10" s="2">
        <v>292.33</v>
      </c>
      <c r="P10" s="2">
        <v>7.86</v>
      </c>
      <c r="Q10" s="2">
        <f t="shared" si="2"/>
        <v>418.69699999999898</v>
      </c>
    </row>
    <row r="11" spans="1:19" x14ac:dyDescent="0.25">
      <c r="A11">
        <v>2014</v>
      </c>
      <c r="B11" s="2">
        <v>37.408499999999997</v>
      </c>
      <c r="C11" s="2">
        <v>22.9755</v>
      </c>
      <c r="D11" s="2">
        <v>14.433</v>
      </c>
      <c r="E11" s="2">
        <f t="shared" si="0"/>
        <v>49.6</v>
      </c>
      <c r="F11" s="2">
        <v>48.27</v>
      </c>
      <c r="G11" s="2">
        <v>1.33</v>
      </c>
      <c r="H11" s="2"/>
      <c r="I11" s="3"/>
      <c r="J11">
        <v>2014</v>
      </c>
      <c r="K11" s="2">
        <v>155.91550000000001</v>
      </c>
      <c r="L11" s="2">
        <v>67.974499999999907</v>
      </c>
      <c r="M11" s="2">
        <v>87.940999999999903</v>
      </c>
      <c r="N11" s="2">
        <f t="shared" si="1"/>
        <v>349.8</v>
      </c>
      <c r="O11" s="2">
        <v>340.61</v>
      </c>
      <c r="P11" s="2">
        <v>9.19</v>
      </c>
      <c r="Q11" s="2">
        <f t="shared" si="2"/>
        <v>505.71550000000002</v>
      </c>
    </row>
    <row r="12" spans="1:19" x14ac:dyDescent="0.25">
      <c r="A12">
        <v>2015</v>
      </c>
      <c r="B12" s="2">
        <v>47.353499999999997</v>
      </c>
      <c r="C12" s="2">
        <v>31.263000000000002</v>
      </c>
      <c r="D12" s="2">
        <v>16.090499999999999</v>
      </c>
      <c r="E12" s="2">
        <f t="shared" si="0"/>
        <v>65.59</v>
      </c>
      <c r="F12" s="2">
        <v>62.58</v>
      </c>
      <c r="G12" s="2">
        <v>3.01</v>
      </c>
      <c r="H12" s="2"/>
      <c r="I12" s="3"/>
      <c r="J12">
        <v>2015</v>
      </c>
      <c r="K12" s="2">
        <v>203.26899999999901</v>
      </c>
      <c r="L12" s="2">
        <v>99.237499999999997</v>
      </c>
      <c r="M12" s="2">
        <v>104.03149999999999</v>
      </c>
      <c r="N12" s="2">
        <f t="shared" si="1"/>
        <v>415.39</v>
      </c>
      <c r="O12" s="2">
        <v>403.19</v>
      </c>
      <c r="P12" s="2">
        <v>12.2</v>
      </c>
      <c r="Q12" s="2">
        <f t="shared" si="2"/>
        <v>618.65899999999897</v>
      </c>
    </row>
    <row r="13" spans="1:19" x14ac:dyDescent="0.25">
      <c r="A13">
        <v>2016</v>
      </c>
      <c r="B13" s="2">
        <v>70.422499999999999</v>
      </c>
      <c r="C13" s="2">
        <v>52.6829999999999</v>
      </c>
      <c r="D13" s="2">
        <v>17.7395</v>
      </c>
      <c r="E13" s="2">
        <f t="shared" si="0"/>
        <v>52.14</v>
      </c>
      <c r="F13" s="2">
        <v>49.57</v>
      </c>
      <c r="G13" s="2">
        <v>2.57</v>
      </c>
      <c r="H13" s="2"/>
      <c r="I13" s="3"/>
      <c r="J13">
        <v>2016</v>
      </c>
      <c r="K13" s="2">
        <v>273.69150000000002</v>
      </c>
      <c r="L13" s="2">
        <v>151.91200000000001</v>
      </c>
      <c r="M13" s="2">
        <v>121.77099999999901</v>
      </c>
      <c r="N13" s="2">
        <f t="shared" si="1"/>
        <v>467.53</v>
      </c>
      <c r="O13" s="2">
        <v>452.76</v>
      </c>
      <c r="P13" s="2">
        <v>14.77</v>
      </c>
      <c r="Q13" s="2">
        <f t="shared" si="2"/>
        <v>741.22149999999999</v>
      </c>
    </row>
    <row r="14" spans="1:19" x14ac:dyDescent="0.25">
      <c r="A14">
        <v>2017</v>
      </c>
      <c r="B14" s="2">
        <v>92.173999999999893</v>
      </c>
      <c r="C14" s="2">
        <v>59.219499999999996</v>
      </c>
      <c r="D14" s="2">
        <v>32.954500000000003</v>
      </c>
      <c r="E14" s="2">
        <f t="shared" si="0"/>
        <v>47.63</v>
      </c>
      <c r="F14" s="2">
        <v>43.89</v>
      </c>
      <c r="G14" s="2">
        <v>3.74</v>
      </c>
      <c r="H14" s="2"/>
      <c r="I14" s="3"/>
      <c r="J14">
        <v>2017</v>
      </c>
      <c r="K14" s="2">
        <v>365.8655</v>
      </c>
      <c r="L14" s="2">
        <v>211.13149999999999</v>
      </c>
      <c r="M14" s="2">
        <v>154.73399999999901</v>
      </c>
      <c r="N14" s="2">
        <f t="shared" si="1"/>
        <v>515.16</v>
      </c>
      <c r="O14" s="2">
        <v>496.65</v>
      </c>
      <c r="P14" s="2">
        <v>18.510000000000002</v>
      </c>
      <c r="Q14" s="2">
        <f t="shared" si="2"/>
        <v>881.02549999999997</v>
      </c>
    </row>
    <row r="15" spans="1:19" x14ac:dyDescent="0.25">
      <c r="A15">
        <v>2018</v>
      </c>
      <c r="B15" s="2">
        <v>92.088999999999999</v>
      </c>
      <c r="C15" s="2">
        <v>54.340499999999999</v>
      </c>
      <c r="D15" s="2">
        <v>37.7484999999999</v>
      </c>
      <c r="E15" s="2">
        <f t="shared" si="0"/>
        <v>49.66</v>
      </c>
      <c r="F15" s="2">
        <v>45.18</v>
      </c>
      <c r="G15" s="2">
        <v>4.4800000000000004</v>
      </c>
      <c r="H15" s="2"/>
      <c r="I15" s="3"/>
      <c r="J15">
        <v>2018</v>
      </c>
      <c r="K15" s="2">
        <v>457.945999999999</v>
      </c>
      <c r="L15" s="2">
        <v>265.47199999999998</v>
      </c>
      <c r="M15" s="2">
        <v>192.47399999999999</v>
      </c>
      <c r="N15" s="2">
        <f t="shared" si="1"/>
        <v>564.82000000000005</v>
      </c>
      <c r="O15" s="2">
        <v>541.83000000000004</v>
      </c>
      <c r="P15" s="2">
        <v>22.99</v>
      </c>
      <c r="Q15" s="2">
        <f t="shared" si="2"/>
        <v>1022.7659999999991</v>
      </c>
    </row>
    <row r="16" spans="1:19" x14ac:dyDescent="0.25">
      <c r="A16">
        <v>2019</v>
      </c>
      <c r="B16" s="2">
        <v>104.32899999999999</v>
      </c>
      <c r="C16" s="2">
        <v>64.6935</v>
      </c>
      <c r="D16" s="2">
        <v>39.626999999999903</v>
      </c>
      <c r="E16" s="2">
        <f t="shared" si="0"/>
        <v>59.03</v>
      </c>
      <c r="F16" s="2">
        <v>53.39</v>
      </c>
      <c r="G16" s="2">
        <v>5.64</v>
      </c>
      <c r="H16" s="2"/>
      <c r="I16" s="3"/>
      <c r="J16">
        <v>2019</v>
      </c>
      <c r="K16" s="2">
        <v>562.27499999999998</v>
      </c>
      <c r="L16" s="2">
        <v>330.16550000000001</v>
      </c>
      <c r="M16" s="2">
        <v>232.101</v>
      </c>
      <c r="N16" s="2">
        <f t="shared" si="1"/>
        <v>623.85</v>
      </c>
      <c r="O16" s="2">
        <v>595.22</v>
      </c>
      <c r="P16" s="2">
        <v>28.63</v>
      </c>
      <c r="Q16" s="2">
        <f t="shared" si="2"/>
        <v>1186.125</v>
      </c>
    </row>
    <row r="17" spans="1:21" x14ac:dyDescent="0.25">
      <c r="A17">
        <v>2020</v>
      </c>
      <c r="B17" s="2">
        <v>127.35550000000001</v>
      </c>
      <c r="C17" s="2">
        <v>71.468000000000004</v>
      </c>
      <c r="D17" s="2">
        <v>55.887499999999903</v>
      </c>
      <c r="E17" s="2">
        <f t="shared" si="0"/>
        <v>108.19</v>
      </c>
      <c r="F17" s="2">
        <v>102.06</v>
      </c>
      <c r="G17" s="2">
        <v>6.13</v>
      </c>
      <c r="H17" s="2"/>
      <c r="I17" s="3"/>
      <c r="J17">
        <v>2020</v>
      </c>
      <c r="K17" s="2">
        <v>689.63049999999998</v>
      </c>
      <c r="L17" s="2">
        <v>401.633499999999</v>
      </c>
      <c r="M17" s="2">
        <v>287.99700000000001</v>
      </c>
      <c r="N17" s="2">
        <f t="shared" si="1"/>
        <v>732.04</v>
      </c>
      <c r="O17" s="2">
        <v>697.27</v>
      </c>
      <c r="P17" s="2">
        <v>34.770000000000003</v>
      </c>
      <c r="Q17" s="2">
        <f t="shared" si="2"/>
        <v>1421.6704999999999</v>
      </c>
    </row>
    <row r="18" spans="1:21" x14ac:dyDescent="0.25">
      <c r="A18">
        <v>2021</v>
      </c>
      <c r="B18" s="2">
        <v>140.80250000000001</v>
      </c>
      <c r="C18" s="2">
        <v>75.471500000000006</v>
      </c>
      <c r="D18" s="2">
        <v>65.331000000000003</v>
      </c>
      <c r="E18" s="2">
        <f t="shared" si="0"/>
        <v>92.81</v>
      </c>
      <c r="F18" s="2">
        <v>72.88</v>
      </c>
      <c r="G18" s="2">
        <v>19.93</v>
      </c>
      <c r="H18" s="2"/>
      <c r="I18" s="3"/>
      <c r="J18">
        <v>2021</v>
      </c>
      <c r="K18" s="2">
        <v>830.43299999999999</v>
      </c>
      <c r="L18" s="2">
        <v>477.104999999999</v>
      </c>
      <c r="M18" s="2">
        <v>353.32799999999997</v>
      </c>
      <c r="N18" s="2">
        <f t="shared" si="1"/>
        <v>824.86</v>
      </c>
      <c r="O18" s="2">
        <v>770.16</v>
      </c>
      <c r="P18" s="2">
        <v>54.7</v>
      </c>
      <c r="Q18" s="2">
        <f t="shared" si="2"/>
        <v>1655.2930000000001</v>
      </c>
    </row>
    <row r="19" spans="1:21" x14ac:dyDescent="0.25">
      <c r="A19">
        <v>2022</v>
      </c>
      <c r="B19" s="2">
        <v>189.0145</v>
      </c>
      <c r="C19" s="2">
        <v>92.054999999999893</v>
      </c>
      <c r="D19" s="2">
        <v>96.959499999999906</v>
      </c>
      <c r="E19" s="2">
        <f t="shared" si="0"/>
        <v>76.14</v>
      </c>
      <c r="F19" s="2">
        <v>65.81</v>
      </c>
      <c r="G19" s="2">
        <v>10.33</v>
      </c>
      <c r="H19" s="2"/>
      <c r="I19" s="3"/>
      <c r="J19">
        <v>2022</v>
      </c>
      <c r="K19" s="2">
        <v>1019.44749999999</v>
      </c>
      <c r="L19" s="2">
        <v>569.16</v>
      </c>
      <c r="M19" s="2">
        <v>450.287499999999</v>
      </c>
      <c r="N19" s="2">
        <f t="shared" si="1"/>
        <v>900.99</v>
      </c>
      <c r="O19" s="2">
        <v>835.96</v>
      </c>
      <c r="P19" s="2">
        <v>65.03</v>
      </c>
      <c r="Q19" s="2">
        <f t="shared" si="2"/>
        <v>1920.43749999999</v>
      </c>
      <c r="T19" s="2"/>
    </row>
    <row r="20" spans="1:21" x14ac:dyDescent="0.25">
      <c r="A20">
        <v>2023</v>
      </c>
      <c r="B20" s="2">
        <v>360.00049999999999</v>
      </c>
      <c r="C20" s="2">
        <v>200.4385</v>
      </c>
      <c r="D20" s="2">
        <v>159.56199999999899</v>
      </c>
      <c r="E20" s="2">
        <f t="shared" si="0"/>
        <v>114.57</v>
      </c>
      <c r="F20" s="2">
        <v>105.41</v>
      </c>
      <c r="G20" s="2">
        <v>9.16</v>
      </c>
      <c r="H20" s="2"/>
      <c r="I20" s="3"/>
      <c r="J20">
        <v>2023</v>
      </c>
      <c r="K20" s="2">
        <v>1379.4480000000001</v>
      </c>
      <c r="L20" s="2">
        <v>769.59849999999994</v>
      </c>
      <c r="M20" s="2">
        <v>609.84100000000001</v>
      </c>
      <c r="N20" s="2">
        <f t="shared" si="1"/>
        <v>1015.5699999999999</v>
      </c>
      <c r="O20" s="2">
        <v>941.38</v>
      </c>
      <c r="P20" s="2">
        <v>74.19</v>
      </c>
      <c r="Q20" s="2">
        <f t="shared" si="2"/>
        <v>2395.018</v>
      </c>
      <c r="T20" s="2"/>
    </row>
    <row r="21" spans="1:21" x14ac:dyDescent="0.25">
      <c r="A21">
        <v>2024</v>
      </c>
      <c r="B21" s="2">
        <v>457.01949999999903</v>
      </c>
      <c r="C21" s="2">
        <v>275.671999999999</v>
      </c>
      <c r="D21" s="2">
        <v>181.3475</v>
      </c>
      <c r="E21" s="2">
        <f t="shared" si="0"/>
        <v>115.1</v>
      </c>
      <c r="F21" s="2">
        <v>105.88</v>
      </c>
      <c r="G21" s="2">
        <v>9.2200000000000006</v>
      </c>
      <c r="H21" s="2"/>
      <c r="I21" s="3"/>
      <c r="J21">
        <v>2024</v>
      </c>
      <c r="K21" s="2">
        <v>1836.4675</v>
      </c>
      <c r="L21" s="2">
        <v>1045.279</v>
      </c>
      <c r="M21" s="2">
        <v>791.18849999999998</v>
      </c>
      <c r="N21" s="2">
        <f t="shared" si="1"/>
        <v>1130.67</v>
      </c>
      <c r="O21" s="2">
        <v>1047.26</v>
      </c>
      <c r="P21" s="2">
        <v>83.41</v>
      </c>
      <c r="Q21" s="2">
        <f t="shared" si="2"/>
        <v>2967.1374999999998</v>
      </c>
      <c r="R21" s="2">
        <v>1642</v>
      </c>
      <c r="S21" s="2">
        <f>R21+K21+N21</f>
        <v>4609.1374999999998</v>
      </c>
      <c r="T21" s="2"/>
    </row>
    <row r="22" spans="1:21" x14ac:dyDescent="0.25">
      <c r="A22">
        <v>2025</v>
      </c>
      <c r="B22" s="2">
        <v>558.66250000000002</v>
      </c>
      <c r="C22" s="2">
        <v>305.71949999999998</v>
      </c>
      <c r="D22" s="2">
        <v>252.94299999999899</v>
      </c>
      <c r="E22" s="2">
        <f t="shared" si="0"/>
        <v>154.66</v>
      </c>
      <c r="F22" s="2">
        <v>139</v>
      </c>
      <c r="G22" s="2">
        <v>15.66</v>
      </c>
      <c r="H22" s="2"/>
      <c r="I22" s="3"/>
      <c r="J22">
        <v>2025</v>
      </c>
      <c r="K22" s="2">
        <v>2395.13</v>
      </c>
      <c r="L22" s="2">
        <v>1350.9984999999999</v>
      </c>
      <c r="M22" s="2">
        <v>1044.1400000000001</v>
      </c>
      <c r="N22" s="2">
        <f t="shared" si="1"/>
        <v>1285.3399999999999</v>
      </c>
      <c r="O22" s="2">
        <v>1186.26</v>
      </c>
      <c r="P22" s="2">
        <v>99.08</v>
      </c>
      <c r="Q22" s="2">
        <f t="shared" si="2"/>
        <v>3680.4700000000003</v>
      </c>
      <c r="R22" s="2">
        <f>($R$27-$R$21)/6+R21</f>
        <v>1712.8333333333333</v>
      </c>
      <c r="S22" s="2">
        <f>R22+K22+N22</f>
        <v>5393.3033333333333</v>
      </c>
      <c r="T22" s="2"/>
    </row>
    <row r="23" spans="1:21" x14ac:dyDescent="0.25">
      <c r="A23">
        <v>2026</v>
      </c>
      <c r="B23" s="2">
        <f>K23-K22</f>
        <v>860.77399999999989</v>
      </c>
      <c r="C23" s="2">
        <f t="shared" ref="C23:G27" si="3">L23-L22</f>
        <v>537.42581999999993</v>
      </c>
      <c r="D23" s="2">
        <f t="shared" si="3"/>
        <v>323.33968000000004</v>
      </c>
      <c r="E23" s="2">
        <f t="shared" si="3"/>
        <v>289.13200000000006</v>
      </c>
      <c r="F23" s="2">
        <f t="shared" si="3"/>
        <v>262.25423999999998</v>
      </c>
      <c r="G23" s="2">
        <f t="shared" si="3"/>
        <v>26.877760000000009</v>
      </c>
      <c r="H23" s="2">
        <f t="shared" ref="H23:H27" si="4">R23-R22</f>
        <v>70.833333333333258</v>
      </c>
      <c r="I23" s="2"/>
      <c r="J23">
        <v>2026</v>
      </c>
      <c r="K23" s="2">
        <f>($K$27-$K$22)/5+K22</f>
        <v>3255.904</v>
      </c>
      <c r="L23" s="2">
        <f>K23*0.58</f>
        <v>1888.4243199999999</v>
      </c>
      <c r="M23" s="2">
        <f>K23-L23</f>
        <v>1367.4796800000001</v>
      </c>
      <c r="N23" s="2">
        <f>($N$27-$N$22)/5+N22</f>
        <v>1574.472</v>
      </c>
      <c r="O23" s="2">
        <f>N23*0.92</f>
        <v>1448.51424</v>
      </c>
      <c r="P23" s="2">
        <f>N23-O23</f>
        <v>125.95776000000001</v>
      </c>
      <c r="Q23" s="2">
        <f t="shared" si="2"/>
        <v>4830.3760000000002</v>
      </c>
      <c r="R23" s="2">
        <f t="shared" ref="R23:R26" si="5">($R$27-$R$21)/6+R22</f>
        <v>1783.6666666666665</v>
      </c>
      <c r="S23" s="2">
        <f t="shared" ref="S23:S27" si="6">R23+K23+N23</f>
        <v>6614.0426666666663</v>
      </c>
      <c r="T23" s="2">
        <f>S23-S22</f>
        <v>1220.739333333333</v>
      </c>
      <c r="U23" s="2">
        <f>B48+E48+H23</f>
        <v>928.29900423911636</v>
      </c>
    </row>
    <row r="24" spans="1:21" x14ac:dyDescent="0.25">
      <c r="A24">
        <v>2027</v>
      </c>
      <c r="B24" s="2">
        <f t="shared" ref="B24:B27" si="7">K24-K23</f>
        <v>860.77399999999989</v>
      </c>
      <c r="C24" s="2">
        <f t="shared" si="3"/>
        <v>499.24891999999977</v>
      </c>
      <c r="D24" s="2">
        <f t="shared" si="3"/>
        <v>361.52508000000012</v>
      </c>
      <c r="E24" s="2">
        <f t="shared" si="3"/>
        <v>289.13200000000006</v>
      </c>
      <c r="F24" s="2">
        <f t="shared" si="3"/>
        <v>266.00144000000023</v>
      </c>
      <c r="G24" s="2">
        <f>P24-P23</f>
        <v>23.130559999999832</v>
      </c>
      <c r="H24" s="2">
        <f t="shared" si="4"/>
        <v>70.833333333333258</v>
      </c>
      <c r="I24" s="2"/>
      <c r="J24">
        <v>2027</v>
      </c>
      <c r="K24" s="2">
        <f t="shared" ref="K24:K26" si="8">($K$27-$K$22)/5+K23</f>
        <v>4116.6779999999999</v>
      </c>
      <c r="L24" s="2">
        <f t="shared" ref="L24:L27" si="9">K24*0.58</f>
        <v>2387.6732399999996</v>
      </c>
      <c r="M24" s="2">
        <f t="shared" ref="M24:M27" si="10">K24-L24</f>
        <v>1729.0047600000003</v>
      </c>
      <c r="N24" s="2">
        <f t="shared" ref="N24:N26" si="11">($N$27-$N$22)/5+N23</f>
        <v>1863.604</v>
      </c>
      <c r="O24" s="2">
        <f t="shared" ref="O24:O27" si="12">N24*0.92</f>
        <v>1714.5156800000002</v>
      </c>
      <c r="P24" s="2">
        <f t="shared" ref="P24:P27" si="13">N24-O24</f>
        <v>149.08831999999984</v>
      </c>
      <c r="Q24" s="2">
        <f t="shared" si="2"/>
        <v>5980.2820000000002</v>
      </c>
      <c r="R24" s="2">
        <f t="shared" si="5"/>
        <v>1854.4999999999998</v>
      </c>
      <c r="S24" s="2">
        <f t="shared" si="6"/>
        <v>7834.7820000000002</v>
      </c>
      <c r="T24" s="2">
        <f t="shared" ref="T23:T26" si="14">S24-S23</f>
        <v>1220.7393333333339</v>
      </c>
      <c r="U24" s="2">
        <f t="shared" ref="U24:U27" si="15">B49+E49+H24</f>
        <v>1072.4421751448995</v>
      </c>
    </row>
    <row r="25" spans="1:21" x14ac:dyDescent="0.25">
      <c r="A25">
        <v>2028</v>
      </c>
      <c r="B25" s="2">
        <f t="shared" si="7"/>
        <v>860.77400000000034</v>
      </c>
      <c r="C25" s="2">
        <f t="shared" si="3"/>
        <v>499.24892000000045</v>
      </c>
      <c r="D25" s="2">
        <f t="shared" si="3"/>
        <v>361.52507999999989</v>
      </c>
      <c r="E25" s="2">
        <f t="shared" si="3"/>
        <v>289.13199999999983</v>
      </c>
      <c r="F25" s="2">
        <f t="shared" si="3"/>
        <v>266.00143999999977</v>
      </c>
      <c r="G25" s="2">
        <f t="shared" si="3"/>
        <v>23.13056000000006</v>
      </c>
      <c r="H25" s="2">
        <f t="shared" si="4"/>
        <v>70.833333333333258</v>
      </c>
      <c r="I25" s="2"/>
      <c r="J25">
        <v>2028</v>
      </c>
      <c r="K25" s="2">
        <f>($K$27-$K$22)/5+K24</f>
        <v>4977.4520000000002</v>
      </c>
      <c r="L25" s="2">
        <f t="shared" si="9"/>
        <v>2886.9221600000001</v>
      </c>
      <c r="M25" s="2">
        <f t="shared" si="10"/>
        <v>2090.5298400000001</v>
      </c>
      <c r="N25" s="2">
        <f t="shared" si="11"/>
        <v>2152.7359999999999</v>
      </c>
      <c r="O25" s="2">
        <f t="shared" si="12"/>
        <v>1980.51712</v>
      </c>
      <c r="P25" s="2">
        <f t="shared" si="13"/>
        <v>172.2188799999999</v>
      </c>
      <c r="Q25" s="2">
        <f t="shared" si="2"/>
        <v>7130.1880000000001</v>
      </c>
      <c r="R25" s="2">
        <f t="shared" si="5"/>
        <v>1925.333333333333</v>
      </c>
      <c r="S25" s="2">
        <f t="shared" si="6"/>
        <v>9055.521333333334</v>
      </c>
      <c r="T25" s="2">
        <f t="shared" si="14"/>
        <v>1220.7393333333339</v>
      </c>
      <c r="U25" s="2">
        <f t="shared" si="15"/>
        <v>1216.5853460506826</v>
      </c>
    </row>
    <row r="26" spans="1:21" x14ac:dyDescent="0.25">
      <c r="A26">
        <v>2029</v>
      </c>
      <c r="B26" s="2">
        <f t="shared" si="7"/>
        <v>860.77400000000034</v>
      </c>
      <c r="C26" s="2">
        <f t="shared" si="3"/>
        <v>499.24892</v>
      </c>
      <c r="D26" s="2">
        <f t="shared" si="3"/>
        <v>361.52508000000034</v>
      </c>
      <c r="E26" s="2">
        <f t="shared" si="3"/>
        <v>289.13200000000006</v>
      </c>
      <c r="F26" s="2">
        <f t="shared" si="3"/>
        <v>266.00144</v>
      </c>
      <c r="G26" s="2">
        <f t="shared" si="3"/>
        <v>23.13056000000006</v>
      </c>
      <c r="H26" s="2">
        <f t="shared" si="4"/>
        <v>70.833333333333258</v>
      </c>
      <c r="I26" s="2"/>
      <c r="J26">
        <v>2029</v>
      </c>
      <c r="K26" s="2">
        <f t="shared" si="8"/>
        <v>5838.2260000000006</v>
      </c>
      <c r="L26" s="2">
        <f t="shared" si="9"/>
        <v>3386.1710800000001</v>
      </c>
      <c r="M26" s="2">
        <f t="shared" si="10"/>
        <v>2452.0549200000005</v>
      </c>
      <c r="N26" s="2">
        <f t="shared" si="11"/>
        <v>2441.8679999999999</v>
      </c>
      <c r="O26" s="2">
        <f t="shared" si="12"/>
        <v>2246.51856</v>
      </c>
      <c r="P26" s="2">
        <f t="shared" si="13"/>
        <v>195.34943999999996</v>
      </c>
      <c r="Q26" s="2">
        <f t="shared" si="2"/>
        <v>8280.094000000001</v>
      </c>
      <c r="R26" s="2">
        <f t="shared" si="5"/>
        <v>1996.1666666666663</v>
      </c>
      <c r="S26" s="2">
        <f t="shared" si="6"/>
        <v>10276.260666666667</v>
      </c>
      <c r="T26" s="2">
        <f t="shared" si="14"/>
        <v>1220.739333333333</v>
      </c>
      <c r="U26" s="2">
        <f t="shared" si="15"/>
        <v>1360.7285169564655</v>
      </c>
    </row>
    <row r="27" spans="1:21" x14ac:dyDescent="0.25">
      <c r="A27">
        <v>2030</v>
      </c>
      <c r="B27" s="2">
        <f t="shared" si="7"/>
        <v>860.77399999999943</v>
      </c>
      <c r="C27" s="2">
        <f t="shared" si="3"/>
        <v>499.24891999999954</v>
      </c>
      <c r="D27" s="2">
        <f t="shared" si="3"/>
        <v>361.52507999999989</v>
      </c>
      <c r="E27" s="2">
        <f t="shared" si="3"/>
        <v>289.13200000000006</v>
      </c>
      <c r="F27" s="2">
        <f t="shared" si="3"/>
        <v>266.00144</v>
      </c>
      <c r="G27" s="2">
        <f t="shared" si="3"/>
        <v>23.13056000000006</v>
      </c>
      <c r="H27" s="2">
        <f t="shared" si="4"/>
        <v>70.833333333333712</v>
      </c>
      <c r="I27" s="2"/>
      <c r="J27">
        <v>2030</v>
      </c>
      <c r="K27" s="2">
        <f>6699*1</f>
        <v>6699</v>
      </c>
      <c r="L27" s="2">
        <f t="shared" si="9"/>
        <v>3885.4199999999996</v>
      </c>
      <c r="M27" s="2">
        <f t="shared" si="10"/>
        <v>2813.5800000000004</v>
      </c>
      <c r="N27" s="2">
        <v>2731</v>
      </c>
      <c r="O27" s="2">
        <f t="shared" si="12"/>
        <v>2512.52</v>
      </c>
      <c r="P27" s="2">
        <f t="shared" si="13"/>
        <v>218.48000000000002</v>
      </c>
      <c r="Q27" s="2">
        <f>SUM(K27,N27)</f>
        <v>9430</v>
      </c>
      <c r="R27">
        <v>2067</v>
      </c>
      <c r="S27" s="2">
        <f t="shared" si="6"/>
        <v>11497</v>
      </c>
      <c r="T27" s="2">
        <f>S27-S26</f>
        <v>1220.739333333333</v>
      </c>
      <c r="U27" s="2">
        <f t="shared" si="15"/>
        <v>1504.8716878622488</v>
      </c>
    </row>
    <row r="29" spans="1:21" x14ac:dyDescent="0.25">
      <c r="R29" s="2">
        <f>R27-R22</f>
        <v>354.16666666666674</v>
      </c>
    </row>
    <row r="30" spans="1:21" x14ac:dyDescent="0.25">
      <c r="B30" s="8" t="s">
        <v>9</v>
      </c>
      <c r="C30" s="8"/>
      <c r="D30" s="8"/>
      <c r="E30" s="8"/>
      <c r="F30" s="8"/>
      <c r="G30" s="8"/>
      <c r="K30" s="9" t="s">
        <v>13</v>
      </c>
      <c r="L30" s="9"/>
      <c r="M30" s="9"/>
      <c r="N30" s="9"/>
      <c r="O30" s="9"/>
      <c r="P30" s="9"/>
    </row>
    <row r="31" spans="1:21" x14ac:dyDescent="0.25">
      <c r="B31" t="s">
        <v>2</v>
      </c>
      <c r="C31" t="s">
        <v>3</v>
      </c>
      <c r="D31" t="s">
        <v>4</v>
      </c>
      <c r="E31" t="s">
        <v>7</v>
      </c>
      <c r="F31" t="s">
        <v>5</v>
      </c>
      <c r="G31" t="s">
        <v>6</v>
      </c>
      <c r="K31" t="s">
        <v>2</v>
      </c>
      <c r="L31" t="s">
        <v>3</v>
      </c>
      <c r="M31" t="s">
        <v>4</v>
      </c>
      <c r="N31" t="s">
        <v>7</v>
      </c>
      <c r="O31" t="s">
        <v>5</v>
      </c>
      <c r="P31" t="s">
        <v>6</v>
      </c>
    </row>
    <row r="32" spans="1:21" x14ac:dyDescent="0.25">
      <c r="A32">
        <v>2010</v>
      </c>
      <c r="B32" s="2">
        <v>14.2119999999999</v>
      </c>
      <c r="C32" s="2">
        <v>3.8759999999999999</v>
      </c>
      <c r="D32" s="2">
        <v>10.327500000000001</v>
      </c>
      <c r="E32" s="2">
        <f>SUM(F32:G32)</f>
        <v>31.01</v>
      </c>
      <c r="F32" s="2">
        <v>29.89</v>
      </c>
      <c r="G32" s="2">
        <v>1.1200000000000001</v>
      </c>
      <c r="H32" s="2"/>
      <c r="I32" s="4"/>
      <c r="J32">
        <v>2010</v>
      </c>
      <c r="K32" s="2">
        <v>33.489999999999903</v>
      </c>
      <c r="L32" s="2">
        <v>6.7489999999999997</v>
      </c>
      <c r="M32" s="2">
        <v>26.741</v>
      </c>
      <c r="N32" s="2">
        <f>SUM(O32:P32)</f>
        <v>181.25</v>
      </c>
      <c r="O32" s="2">
        <v>177.96</v>
      </c>
      <c r="P32" s="2">
        <v>3.29</v>
      </c>
    </row>
    <row r="33" spans="1:18" x14ac:dyDescent="0.25">
      <c r="A33">
        <v>2011</v>
      </c>
      <c r="B33" s="2">
        <v>26.698499999999999</v>
      </c>
      <c r="C33" s="2">
        <v>9.2735000000000003</v>
      </c>
      <c r="D33" s="2">
        <v>17.416499999999999</v>
      </c>
      <c r="E33" s="2">
        <f t="shared" ref="E33:E47" si="16">SUM(F33:G33)</f>
        <v>39.11</v>
      </c>
      <c r="F33" s="2">
        <v>38.44</v>
      </c>
      <c r="G33" s="2">
        <v>0.67</v>
      </c>
      <c r="H33" s="2"/>
      <c r="I33" s="4"/>
      <c r="J33">
        <v>2011</v>
      </c>
      <c r="K33" s="2">
        <v>60.1799999999999</v>
      </c>
      <c r="L33" s="2">
        <v>16.022500000000001</v>
      </c>
      <c r="M33" s="2">
        <v>44.157499999999999</v>
      </c>
      <c r="N33" s="2">
        <f t="shared" ref="N33:N47" si="17">SUM(O33:P33)</f>
        <v>220.36</v>
      </c>
      <c r="O33" s="2">
        <v>216.4</v>
      </c>
      <c r="P33" s="2">
        <v>3.96</v>
      </c>
    </row>
    <row r="34" spans="1:18" x14ac:dyDescent="0.25">
      <c r="A34">
        <v>2012</v>
      </c>
      <c r="B34" s="2">
        <v>25.550999999999998</v>
      </c>
      <c r="C34" s="2">
        <v>9.2650000000000006</v>
      </c>
      <c r="D34" s="2">
        <v>16.286000000000001</v>
      </c>
      <c r="E34" s="2">
        <f t="shared" si="16"/>
        <v>46.919999999999995</v>
      </c>
      <c r="F34" s="2">
        <v>45.16</v>
      </c>
      <c r="G34" s="2">
        <v>1.76</v>
      </c>
      <c r="H34" s="2"/>
      <c r="I34" s="4"/>
      <c r="J34">
        <v>2012</v>
      </c>
      <c r="K34" s="2">
        <v>85.739500000000007</v>
      </c>
      <c r="L34" s="2">
        <v>25.287499999999898</v>
      </c>
      <c r="M34" s="2">
        <v>60.4435</v>
      </c>
      <c r="N34" s="2">
        <f t="shared" si="17"/>
        <v>267.28000000000003</v>
      </c>
      <c r="O34" s="2">
        <v>261.56</v>
      </c>
      <c r="P34" s="2">
        <v>5.72</v>
      </c>
    </row>
    <row r="35" spans="1:18" x14ac:dyDescent="0.25">
      <c r="A35">
        <v>2013</v>
      </c>
      <c r="B35" s="2">
        <v>32.767499999999998</v>
      </c>
      <c r="C35" s="2">
        <v>19.702999999999999</v>
      </c>
      <c r="D35" s="2">
        <v>13.064499999999899</v>
      </c>
      <c r="E35" s="2">
        <f t="shared" si="16"/>
        <v>32.92</v>
      </c>
      <c r="F35" s="2">
        <v>30.77</v>
      </c>
      <c r="G35" s="2">
        <v>2.15</v>
      </c>
      <c r="H35" s="2"/>
      <c r="I35" s="4"/>
      <c r="J35">
        <v>2013</v>
      </c>
      <c r="K35" s="2">
        <v>118.506999999999</v>
      </c>
      <c r="L35" s="2">
        <v>44.998999999999903</v>
      </c>
      <c r="M35" s="2">
        <v>73.507999999999996</v>
      </c>
      <c r="N35" s="2">
        <f t="shared" si="17"/>
        <v>300.19</v>
      </c>
      <c r="O35" s="2">
        <v>292.33</v>
      </c>
      <c r="P35" s="2">
        <v>7.86</v>
      </c>
    </row>
    <row r="36" spans="1:18" x14ac:dyDescent="0.25">
      <c r="A36">
        <v>2014</v>
      </c>
      <c r="B36" s="2">
        <v>37.408499999999997</v>
      </c>
      <c r="C36" s="2">
        <v>22.9755</v>
      </c>
      <c r="D36" s="2">
        <v>14.433</v>
      </c>
      <c r="E36" s="2">
        <f t="shared" si="16"/>
        <v>49.6</v>
      </c>
      <c r="F36" s="2">
        <v>48.27</v>
      </c>
      <c r="G36" s="2">
        <v>1.33</v>
      </c>
      <c r="H36" s="2"/>
      <c r="I36" s="4"/>
      <c r="J36">
        <v>2014</v>
      </c>
      <c r="K36" s="2">
        <v>155.91550000000001</v>
      </c>
      <c r="L36" s="2">
        <v>67.974499999999907</v>
      </c>
      <c r="M36" s="2">
        <v>87.940999999999903</v>
      </c>
      <c r="N36" s="2">
        <f t="shared" si="17"/>
        <v>349.8</v>
      </c>
      <c r="O36" s="2">
        <v>340.61</v>
      </c>
      <c r="P36" s="2">
        <v>9.19</v>
      </c>
    </row>
    <row r="37" spans="1:18" x14ac:dyDescent="0.25">
      <c r="A37">
        <v>2015</v>
      </c>
      <c r="B37" s="2">
        <v>47.353499999999997</v>
      </c>
      <c r="C37" s="2">
        <v>31.263000000000002</v>
      </c>
      <c r="D37" s="2">
        <v>16.090499999999999</v>
      </c>
      <c r="E37" s="2">
        <f t="shared" si="16"/>
        <v>65.59</v>
      </c>
      <c r="F37" s="2">
        <v>62.58</v>
      </c>
      <c r="G37" s="2">
        <v>3.01</v>
      </c>
      <c r="H37" s="2"/>
      <c r="I37" s="4"/>
      <c r="J37">
        <v>2015</v>
      </c>
      <c r="K37" s="2">
        <v>203.26899999999901</v>
      </c>
      <c r="L37" s="2">
        <v>99.237499999999997</v>
      </c>
      <c r="M37" s="2">
        <v>104.03149999999999</v>
      </c>
      <c r="N37" s="2">
        <f t="shared" si="17"/>
        <v>415.39</v>
      </c>
      <c r="O37" s="2">
        <v>403.19</v>
      </c>
      <c r="P37" s="2">
        <v>12.2</v>
      </c>
    </row>
    <row r="38" spans="1:18" x14ac:dyDescent="0.25">
      <c r="A38">
        <v>2016</v>
      </c>
      <c r="B38" s="2">
        <v>70.422499999999999</v>
      </c>
      <c r="C38" s="2">
        <v>52.6829999999999</v>
      </c>
      <c r="D38" s="2">
        <v>17.7395</v>
      </c>
      <c r="E38" s="2">
        <f t="shared" si="16"/>
        <v>52.14</v>
      </c>
      <c r="F38" s="2">
        <v>49.57</v>
      </c>
      <c r="G38" s="2">
        <v>2.57</v>
      </c>
      <c r="H38" s="2"/>
      <c r="I38" s="4"/>
      <c r="J38">
        <v>2016</v>
      </c>
      <c r="K38" s="2">
        <v>273.69150000000002</v>
      </c>
      <c r="L38" s="2">
        <v>151.91200000000001</v>
      </c>
      <c r="M38" s="2">
        <v>121.77099999999901</v>
      </c>
      <c r="N38" s="2">
        <f t="shared" si="17"/>
        <v>467.53</v>
      </c>
      <c r="O38" s="2">
        <v>452.76</v>
      </c>
      <c r="P38" s="2">
        <v>14.77</v>
      </c>
    </row>
    <row r="39" spans="1:18" x14ac:dyDescent="0.25">
      <c r="A39">
        <v>2017</v>
      </c>
      <c r="B39" s="2">
        <v>92.173999999999893</v>
      </c>
      <c r="C39" s="2">
        <v>59.219499999999996</v>
      </c>
      <c r="D39" s="2">
        <v>32.954500000000003</v>
      </c>
      <c r="E39" s="2">
        <f t="shared" si="16"/>
        <v>47.63</v>
      </c>
      <c r="F39" s="2">
        <v>43.89</v>
      </c>
      <c r="G39" s="2">
        <v>3.74</v>
      </c>
      <c r="H39" s="2"/>
      <c r="I39" s="4"/>
      <c r="J39">
        <v>2017</v>
      </c>
      <c r="K39" s="2">
        <v>365.8655</v>
      </c>
      <c r="L39" s="2">
        <v>211.13149999999999</v>
      </c>
      <c r="M39" s="2">
        <v>154.73399999999901</v>
      </c>
      <c r="N39" s="2">
        <f t="shared" si="17"/>
        <v>515.16</v>
      </c>
      <c r="O39" s="2">
        <v>496.65</v>
      </c>
      <c r="P39" s="2">
        <v>18.510000000000002</v>
      </c>
    </row>
    <row r="40" spans="1:18" x14ac:dyDescent="0.25">
      <c r="A40">
        <v>2018</v>
      </c>
      <c r="B40" s="2">
        <v>92.088999999999999</v>
      </c>
      <c r="C40" s="2">
        <v>54.340499999999999</v>
      </c>
      <c r="D40" s="2">
        <v>37.7484999999999</v>
      </c>
      <c r="E40" s="2">
        <f t="shared" si="16"/>
        <v>49.66</v>
      </c>
      <c r="F40" s="2">
        <v>45.18</v>
      </c>
      <c r="G40" s="2">
        <v>4.4800000000000004</v>
      </c>
      <c r="H40" s="2"/>
      <c r="I40" s="4"/>
      <c r="J40">
        <v>2018</v>
      </c>
      <c r="K40" s="2">
        <v>457.945999999999</v>
      </c>
      <c r="L40" s="2">
        <v>265.47199999999998</v>
      </c>
      <c r="M40" s="2">
        <v>192.47399999999999</v>
      </c>
      <c r="N40" s="2">
        <f t="shared" si="17"/>
        <v>564.82000000000005</v>
      </c>
      <c r="O40" s="2">
        <v>541.83000000000004</v>
      </c>
      <c r="P40" s="2">
        <v>22.99</v>
      </c>
    </row>
    <row r="41" spans="1:18" x14ac:dyDescent="0.25">
      <c r="A41">
        <v>2019</v>
      </c>
      <c r="B41" s="2">
        <v>104.32899999999999</v>
      </c>
      <c r="C41" s="2">
        <v>64.6935</v>
      </c>
      <c r="D41" s="2">
        <v>39.626999999999903</v>
      </c>
      <c r="E41" s="2">
        <f t="shared" si="16"/>
        <v>59.03</v>
      </c>
      <c r="F41" s="2">
        <v>53.39</v>
      </c>
      <c r="G41" s="2">
        <v>5.64</v>
      </c>
      <c r="H41" s="2"/>
      <c r="I41" s="4"/>
      <c r="J41">
        <v>2019</v>
      </c>
      <c r="K41" s="2">
        <v>562.27499999999998</v>
      </c>
      <c r="L41" s="2">
        <v>330.16550000000001</v>
      </c>
      <c r="M41" s="2">
        <v>232.101</v>
      </c>
      <c r="N41" s="2">
        <f t="shared" si="17"/>
        <v>623.85</v>
      </c>
      <c r="O41" s="2">
        <v>595.22</v>
      </c>
      <c r="P41" s="2">
        <v>28.63</v>
      </c>
    </row>
    <row r="42" spans="1:18" x14ac:dyDescent="0.25">
      <c r="A42">
        <v>2020</v>
      </c>
      <c r="B42" s="2">
        <v>127.35550000000001</v>
      </c>
      <c r="C42" s="2">
        <v>71.468000000000004</v>
      </c>
      <c r="D42" s="2">
        <v>55.887499999999903</v>
      </c>
      <c r="E42" s="2">
        <f t="shared" si="16"/>
        <v>108.19</v>
      </c>
      <c r="F42" s="2">
        <v>102.06</v>
      </c>
      <c r="G42" s="2">
        <v>6.13</v>
      </c>
      <c r="H42" s="2"/>
      <c r="I42" s="4"/>
      <c r="J42">
        <v>2020</v>
      </c>
      <c r="K42" s="2">
        <v>689.63049999999998</v>
      </c>
      <c r="L42" s="2">
        <v>401.633499999999</v>
      </c>
      <c r="M42" s="2">
        <v>287.99700000000001</v>
      </c>
      <c r="N42" s="2">
        <f t="shared" si="17"/>
        <v>732.04</v>
      </c>
      <c r="O42" s="2">
        <v>697.27</v>
      </c>
      <c r="P42" s="2">
        <v>34.770000000000003</v>
      </c>
    </row>
    <row r="43" spans="1:18" x14ac:dyDescent="0.25">
      <c r="A43">
        <v>2021</v>
      </c>
      <c r="B43" s="2">
        <v>140.80250000000001</v>
      </c>
      <c r="C43" s="2">
        <v>75.471500000000006</v>
      </c>
      <c r="D43" s="2">
        <v>65.331000000000003</v>
      </c>
      <c r="E43" s="2">
        <f t="shared" si="16"/>
        <v>92.81</v>
      </c>
      <c r="F43" s="2">
        <v>72.88</v>
      </c>
      <c r="G43" s="2">
        <v>19.93</v>
      </c>
      <c r="H43" s="2"/>
      <c r="I43" s="4"/>
      <c r="J43">
        <v>2021</v>
      </c>
      <c r="K43" s="2">
        <v>830.43299999999999</v>
      </c>
      <c r="L43" s="2">
        <v>477.104999999999</v>
      </c>
      <c r="M43" s="2">
        <v>353.32799999999997</v>
      </c>
      <c r="N43" s="2">
        <f t="shared" si="17"/>
        <v>824.86</v>
      </c>
      <c r="O43" s="2">
        <v>770.16</v>
      </c>
      <c r="P43" s="2">
        <v>54.7</v>
      </c>
    </row>
    <row r="44" spans="1:18" x14ac:dyDescent="0.25">
      <c r="A44">
        <v>2022</v>
      </c>
      <c r="B44" s="2">
        <v>189.0145</v>
      </c>
      <c r="C44" s="2">
        <v>92.054999999999893</v>
      </c>
      <c r="D44" s="2">
        <v>96.959499999999906</v>
      </c>
      <c r="E44" s="2">
        <f t="shared" si="16"/>
        <v>76.14</v>
      </c>
      <c r="F44" s="2">
        <v>65.81</v>
      </c>
      <c r="G44" s="2">
        <v>10.33</v>
      </c>
      <c r="H44" s="2"/>
      <c r="I44" s="4"/>
      <c r="J44">
        <v>2022</v>
      </c>
      <c r="K44" s="2">
        <v>1019.44749999999</v>
      </c>
      <c r="L44" s="2">
        <v>569.16</v>
      </c>
      <c r="M44" s="2">
        <v>450.287499999999</v>
      </c>
      <c r="N44" s="2">
        <f t="shared" si="17"/>
        <v>900.99</v>
      </c>
      <c r="O44" s="2">
        <v>835.96</v>
      </c>
      <c r="P44" s="2">
        <v>65.03</v>
      </c>
    </row>
    <row r="45" spans="1:18" x14ac:dyDescent="0.25">
      <c r="A45">
        <v>2023</v>
      </c>
      <c r="B45" s="2">
        <v>360.00049999999999</v>
      </c>
      <c r="C45" s="2">
        <v>200.4385</v>
      </c>
      <c r="D45" s="2">
        <v>159.56199999999899</v>
      </c>
      <c r="E45" s="2">
        <f t="shared" si="16"/>
        <v>114.57</v>
      </c>
      <c r="F45" s="2">
        <v>105.41</v>
      </c>
      <c r="G45" s="2">
        <v>9.16</v>
      </c>
      <c r="H45" s="2"/>
      <c r="I45" s="4"/>
      <c r="J45">
        <v>2023</v>
      </c>
      <c r="K45" s="2">
        <v>1379.4480000000001</v>
      </c>
      <c r="L45" s="2">
        <v>769.59849999999994</v>
      </c>
      <c r="M45" s="2">
        <v>609.84100000000001</v>
      </c>
      <c r="N45" s="2">
        <f t="shared" si="17"/>
        <v>1015.5699999999999</v>
      </c>
      <c r="O45" s="2">
        <v>941.38</v>
      </c>
      <c r="P45" s="2">
        <v>74.19</v>
      </c>
    </row>
    <row r="46" spans="1:18" x14ac:dyDescent="0.25">
      <c r="A46">
        <v>2024</v>
      </c>
      <c r="B46" s="2">
        <v>457.01949999999903</v>
      </c>
      <c r="C46" s="2">
        <v>275.671999999999</v>
      </c>
      <c r="D46" s="2">
        <v>181.3475</v>
      </c>
      <c r="E46" s="2">
        <f t="shared" si="16"/>
        <v>115.1</v>
      </c>
      <c r="F46" s="2">
        <v>105.88</v>
      </c>
      <c r="G46" s="2">
        <v>9.2200000000000006</v>
      </c>
      <c r="H46" s="2"/>
      <c r="I46" s="4"/>
      <c r="J46">
        <v>2024</v>
      </c>
      <c r="K46" s="2">
        <v>1836.4675</v>
      </c>
      <c r="L46" s="2">
        <v>1045.279</v>
      </c>
      <c r="M46" s="2">
        <v>791.18849999999998</v>
      </c>
      <c r="N46" s="2">
        <f t="shared" si="17"/>
        <v>1130.67</v>
      </c>
      <c r="O46" s="2">
        <v>1047.26</v>
      </c>
      <c r="P46" s="2">
        <v>83.41</v>
      </c>
    </row>
    <row r="47" spans="1:18" x14ac:dyDescent="0.25">
      <c r="A47">
        <v>2025</v>
      </c>
      <c r="B47" s="2">
        <v>558.66250000000002</v>
      </c>
      <c r="C47" s="2">
        <v>305.71949999999998</v>
      </c>
      <c r="D47" s="2">
        <v>252.94299999999899</v>
      </c>
      <c r="E47" s="2">
        <f t="shared" si="16"/>
        <v>154.66</v>
      </c>
      <c r="F47" s="2">
        <v>139</v>
      </c>
      <c r="G47" s="2">
        <v>15.66</v>
      </c>
      <c r="H47" s="2"/>
      <c r="I47" s="4"/>
      <c r="J47">
        <v>2025</v>
      </c>
      <c r="K47" s="2">
        <v>2745</v>
      </c>
      <c r="L47" s="2">
        <v>1350.9984999999999</v>
      </c>
      <c r="M47" s="2">
        <v>1044.1400000000001</v>
      </c>
      <c r="N47" s="2">
        <f t="shared" si="17"/>
        <v>1285.3399999999999</v>
      </c>
      <c r="O47" s="2">
        <v>1186.26</v>
      </c>
      <c r="P47" s="2">
        <v>99.08</v>
      </c>
    </row>
    <row r="48" spans="1:18" x14ac:dyDescent="0.25">
      <c r="A48">
        <v>2026</v>
      </c>
      <c r="B48" s="2">
        <f>($B$52-$B$47)/5+B47</f>
        <v>648.9954987968747</v>
      </c>
      <c r="C48" s="2">
        <f>B48*0.57</f>
        <v>369.92743431421854</v>
      </c>
      <c r="D48" s="2">
        <f>B48-C48</f>
        <v>279.06806448265615</v>
      </c>
      <c r="E48" s="2">
        <f>($E$52-$E$47)/5+E47</f>
        <v>208.4701721089084</v>
      </c>
      <c r="F48" s="2">
        <f t="shared" ref="F48:F52" si="18">O48-O47</f>
        <v>182.49856599999998</v>
      </c>
      <c r="G48" s="2">
        <f t="shared" ref="G48:G52" si="19">P48-P47</f>
        <v>19.942483999999851</v>
      </c>
      <c r="H48" s="2">
        <f t="shared" ref="H48:H51" si="20">R23-R22</f>
        <v>70.833333333333258</v>
      </c>
      <c r="I48" s="4"/>
      <c r="J48">
        <v>2026</v>
      </c>
      <c r="K48" s="2">
        <f>K47*K54</f>
        <v>3362.6250000000005</v>
      </c>
      <c r="L48" s="2">
        <f>K48*0.57</f>
        <v>1916.6962500000002</v>
      </c>
      <c r="M48" s="2">
        <f>K48-L48</f>
        <v>1445.9287500000003</v>
      </c>
      <c r="N48" s="2">
        <f>N47*$N$54</f>
        <v>1487.7810499999998</v>
      </c>
      <c r="O48" s="2">
        <f>N48*0.92</f>
        <v>1368.758566</v>
      </c>
      <c r="P48" s="2">
        <f>N48-O48</f>
        <v>119.02248399999985</v>
      </c>
      <c r="R48" s="5"/>
    </row>
    <row r="49" spans="1:18" x14ac:dyDescent="0.25">
      <c r="A49">
        <v>2027</v>
      </c>
      <c r="B49" s="2">
        <f t="shared" ref="B49:B50" si="21">($B$52-$B$47)/5+B48</f>
        <v>739.32849759374938</v>
      </c>
      <c r="C49" s="2">
        <f>B49*0.57</f>
        <v>421.41724362843712</v>
      </c>
      <c r="D49" s="2">
        <f t="shared" ref="D49:D51" si="22">B49-C49</f>
        <v>317.91125396531226</v>
      </c>
      <c r="E49" s="2">
        <f t="shared" ref="E49:E51" si="23">($E$52-$E$47)/5+E48</f>
        <v>262.28034421781678</v>
      </c>
      <c r="F49" s="2">
        <f t="shared" si="18"/>
        <v>215.57947414499995</v>
      </c>
      <c r="G49" s="2">
        <f t="shared" si="19"/>
        <v>18.746041229999946</v>
      </c>
      <c r="H49" s="2">
        <f t="shared" si="20"/>
        <v>70.833333333333258</v>
      </c>
      <c r="I49" s="4"/>
      <c r="J49">
        <v>2027</v>
      </c>
      <c r="K49" s="2">
        <f t="shared" ref="K49:K50" si="24">K48*K55</f>
        <v>4085.5893750000009</v>
      </c>
      <c r="L49" s="2">
        <f>K49*0.57</f>
        <v>2328.7859437500001</v>
      </c>
      <c r="M49" s="2">
        <f t="shared" ref="M49:M52" si="25">K49-L49</f>
        <v>1756.8034312500008</v>
      </c>
      <c r="N49" s="2">
        <f t="shared" ref="N49:N51" si="26">N48*$N$54</f>
        <v>1722.1065653749997</v>
      </c>
      <c r="O49" s="2">
        <f t="shared" ref="O49:O52" si="27">N49*0.92</f>
        <v>1584.3380401449999</v>
      </c>
      <c r="P49" s="2">
        <f t="shared" ref="P49:P52" si="28">N49-O49</f>
        <v>137.7685252299998</v>
      </c>
      <c r="R49" s="5"/>
    </row>
    <row r="50" spans="1:18" x14ac:dyDescent="0.25">
      <c r="A50">
        <v>2028</v>
      </c>
      <c r="B50" s="2">
        <f t="shared" si="21"/>
        <v>829.66149639062405</v>
      </c>
      <c r="C50" s="2">
        <f>B50*0.57</f>
        <v>472.9070529426557</v>
      </c>
      <c r="D50" s="2">
        <f t="shared" si="22"/>
        <v>356.75444344796836</v>
      </c>
      <c r="E50" s="2">
        <f t="shared" si="23"/>
        <v>316.09051632672515</v>
      </c>
      <c r="F50" s="2">
        <f t="shared" si="18"/>
        <v>249.53324132283728</v>
      </c>
      <c r="G50" s="2">
        <f t="shared" si="19"/>
        <v>21.698542723725041</v>
      </c>
      <c r="H50" s="2">
        <f t="shared" si="20"/>
        <v>70.833333333333258</v>
      </c>
      <c r="I50" s="4"/>
      <c r="J50">
        <v>2028</v>
      </c>
      <c r="K50" s="2">
        <f t="shared" si="24"/>
        <v>4841.423409375001</v>
      </c>
      <c r="L50" s="2">
        <f>K50*0.57</f>
        <v>2759.6113433437504</v>
      </c>
      <c r="M50" s="2">
        <f t="shared" si="25"/>
        <v>2081.8120660312507</v>
      </c>
      <c r="N50" s="2">
        <f t="shared" si="26"/>
        <v>1993.338349421562</v>
      </c>
      <c r="O50" s="2">
        <f t="shared" si="27"/>
        <v>1833.8712814678372</v>
      </c>
      <c r="P50" s="2">
        <f t="shared" si="28"/>
        <v>159.46706795372484</v>
      </c>
      <c r="R50" s="5"/>
    </row>
    <row r="51" spans="1:18" x14ac:dyDescent="0.25">
      <c r="A51">
        <v>2029</v>
      </c>
      <c r="B51" s="2">
        <f>($B$52-$B$47)/5+B50</f>
        <v>919.99449518749873</v>
      </c>
      <c r="C51" s="2">
        <f>B51*0.57</f>
        <v>524.39686225687421</v>
      </c>
      <c r="D51" s="2">
        <f t="shared" si="22"/>
        <v>395.59763293062451</v>
      </c>
      <c r="E51" s="2">
        <f t="shared" si="23"/>
        <v>369.90068843563353</v>
      </c>
      <c r="F51" s="2">
        <f t="shared" si="18"/>
        <v>288.8347268311843</v>
      </c>
      <c r="G51" s="2">
        <f t="shared" si="19"/>
        <v>25.116063202711757</v>
      </c>
      <c r="H51" s="2">
        <f t="shared" si="20"/>
        <v>70.833333333333258</v>
      </c>
      <c r="I51" s="4"/>
      <c r="J51">
        <v>2029</v>
      </c>
      <c r="K51" s="2">
        <f>K50*K57</f>
        <v>5688.6725060156268</v>
      </c>
      <c r="L51" s="2">
        <f>K51*0.57</f>
        <v>3242.543328428907</v>
      </c>
      <c r="M51" s="2">
        <f t="shared" si="25"/>
        <v>2446.1291775867198</v>
      </c>
      <c r="N51" s="2">
        <f t="shared" si="26"/>
        <v>2307.2891394554581</v>
      </c>
      <c r="O51" s="2">
        <f t="shared" si="27"/>
        <v>2122.7060082990215</v>
      </c>
      <c r="P51" s="2">
        <f t="shared" si="28"/>
        <v>184.58313115643659</v>
      </c>
      <c r="R51" s="5"/>
    </row>
    <row r="52" spans="1:18" x14ac:dyDescent="0.25">
      <c r="A52">
        <v>2030</v>
      </c>
      <c r="B52" s="2">
        <f>K52-K51</f>
        <v>1010.3274939843732</v>
      </c>
      <c r="C52" s="2">
        <f t="shared" ref="C52" si="29">L52-L51</f>
        <v>575.88667157109285</v>
      </c>
      <c r="D52" s="2">
        <f t="shared" ref="D52" si="30">M52-M51</f>
        <v>434.44082241328033</v>
      </c>
      <c r="E52" s="2">
        <f t="shared" ref="E52" si="31">N52-N51</f>
        <v>423.7108605445419</v>
      </c>
      <c r="F52" s="2">
        <f t="shared" si="18"/>
        <v>389.81399170097848</v>
      </c>
      <c r="G52" s="2">
        <f t="shared" si="19"/>
        <v>33.896868843563425</v>
      </c>
      <c r="H52" s="2">
        <f>R27-R26</f>
        <v>70.833333333333712</v>
      </c>
      <c r="I52" s="4"/>
      <c r="J52">
        <v>2030</v>
      </c>
      <c r="K52" s="2">
        <f>6699*1</f>
        <v>6699</v>
      </c>
      <c r="L52" s="2">
        <f>K52*0.57</f>
        <v>3818.43</v>
      </c>
      <c r="M52" s="2">
        <f t="shared" si="25"/>
        <v>2880.57</v>
      </c>
      <c r="N52" s="2">
        <v>2731</v>
      </c>
      <c r="O52" s="2">
        <f t="shared" si="27"/>
        <v>2512.52</v>
      </c>
      <c r="P52" s="2">
        <f t="shared" si="28"/>
        <v>218.48000000000002</v>
      </c>
      <c r="R52" s="5"/>
    </row>
    <row r="54" spans="1:18" x14ac:dyDescent="0.25">
      <c r="B54" s="2">
        <f>SUM(B48:B52)</f>
        <v>4148.3074819531193</v>
      </c>
      <c r="E54" s="2">
        <f>SUM(E48:E52)</f>
        <v>1580.4525816336259</v>
      </c>
      <c r="K54">
        <v>1.2250000000000001</v>
      </c>
      <c r="N54">
        <v>1.1575</v>
      </c>
    </row>
    <row r="55" spans="1:18" x14ac:dyDescent="0.25">
      <c r="K55">
        <v>1.2150000000000001</v>
      </c>
    </row>
    <row r="56" spans="1:18" x14ac:dyDescent="0.25">
      <c r="K56">
        <v>1.1850000000000001</v>
      </c>
    </row>
    <row r="57" spans="1:18" x14ac:dyDescent="0.25">
      <c r="K57">
        <v>1.175</v>
      </c>
    </row>
    <row r="61" spans="1:18" x14ac:dyDescent="0.25">
      <c r="B61" t="s">
        <v>2</v>
      </c>
      <c r="C61" t="s">
        <v>3</v>
      </c>
      <c r="D61" t="s">
        <v>4</v>
      </c>
      <c r="E61" t="s">
        <v>7</v>
      </c>
      <c r="F61" t="s">
        <v>5</v>
      </c>
      <c r="G61" t="s">
        <v>6</v>
      </c>
      <c r="K61" t="s">
        <v>2</v>
      </c>
      <c r="L61" t="s">
        <v>3</v>
      </c>
      <c r="M61" t="s">
        <v>4</v>
      </c>
      <c r="N61" t="s">
        <v>7</v>
      </c>
      <c r="O61" t="s">
        <v>5</v>
      </c>
      <c r="P61" t="s">
        <v>6</v>
      </c>
    </row>
    <row r="62" spans="1:18" x14ac:dyDescent="0.25">
      <c r="A62">
        <v>2010</v>
      </c>
      <c r="B62" s="2">
        <v>14.2119999999999</v>
      </c>
      <c r="C62" s="2">
        <v>3.8759999999999999</v>
      </c>
      <c r="D62" s="2">
        <v>10.327500000000001</v>
      </c>
      <c r="E62" s="2">
        <f>SUM(F62:G62)</f>
        <v>31.01</v>
      </c>
      <c r="F62" s="2">
        <v>29.89</v>
      </c>
      <c r="G62" s="2">
        <v>1.1200000000000001</v>
      </c>
      <c r="H62" s="2"/>
      <c r="I62" s="4"/>
      <c r="J62">
        <v>2010</v>
      </c>
      <c r="K62" s="2">
        <v>33.489999999999903</v>
      </c>
      <c r="L62" s="2">
        <v>6.7489999999999997</v>
      </c>
      <c r="M62" s="2">
        <v>26.741</v>
      </c>
      <c r="N62" s="2">
        <f>SUM(O62:P62)</f>
        <v>181.25</v>
      </c>
      <c r="O62" s="2">
        <v>177.96</v>
      </c>
      <c r="P62" s="2">
        <v>3.29</v>
      </c>
    </row>
    <row r="63" spans="1:18" x14ac:dyDescent="0.25">
      <c r="A63">
        <v>2011</v>
      </c>
      <c r="B63" s="2">
        <v>26.698499999999999</v>
      </c>
      <c r="C63" s="2">
        <v>9.2735000000000003</v>
      </c>
      <c r="D63" s="2">
        <v>17.416499999999999</v>
      </c>
      <c r="E63" s="2">
        <f t="shared" ref="E63:E76" si="32">SUM(F63:G63)</f>
        <v>39.11</v>
      </c>
      <c r="F63" s="2">
        <v>38.44</v>
      </c>
      <c r="G63" s="2">
        <v>0.67</v>
      </c>
      <c r="H63" s="2"/>
      <c r="I63" s="4"/>
      <c r="J63">
        <v>2011</v>
      </c>
      <c r="K63" s="2">
        <v>60.1799999999999</v>
      </c>
      <c r="L63" s="2">
        <v>16.022500000000001</v>
      </c>
      <c r="M63" s="2">
        <v>44.157499999999999</v>
      </c>
      <c r="N63" s="2">
        <f t="shared" ref="N63:N77" si="33">SUM(O63:P63)</f>
        <v>220.36</v>
      </c>
      <c r="O63" s="2">
        <v>216.4</v>
      </c>
      <c r="P63" s="2">
        <v>3.96</v>
      </c>
    </row>
    <row r="64" spans="1:18" x14ac:dyDescent="0.25">
      <c r="A64">
        <v>2012</v>
      </c>
      <c r="B64" s="2">
        <v>25.550999999999998</v>
      </c>
      <c r="C64" s="2">
        <v>9.2650000000000006</v>
      </c>
      <c r="D64" s="2">
        <v>16.286000000000001</v>
      </c>
      <c r="E64" s="2">
        <f t="shared" si="32"/>
        <v>46.919999999999995</v>
      </c>
      <c r="F64" s="2">
        <v>45.16</v>
      </c>
      <c r="G64" s="2">
        <v>1.76</v>
      </c>
      <c r="H64" s="2"/>
      <c r="I64" s="4"/>
      <c r="J64">
        <v>2012</v>
      </c>
      <c r="K64" s="2">
        <v>85.739500000000007</v>
      </c>
      <c r="L64" s="2">
        <v>25.287499999999898</v>
      </c>
      <c r="M64" s="2">
        <v>60.4435</v>
      </c>
      <c r="N64" s="2">
        <f t="shared" si="33"/>
        <v>267.28000000000003</v>
      </c>
      <c r="O64" s="2">
        <v>261.56</v>
      </c>
      <c r="P64" s="2">
        <v>5.72</v>
      </c>
    </row>
    <row r="65" spans="1:16" x14ac:dyDescent="0.25">
      <c r="A65">
        <v>2013</v>
      </c>
      <c r="B65" s="2">
        <v>32.767499999999998</v>
      </c>
      <c r="C65" s="2">
        <v>19.702999999999999</v>
      </c>
      <c r="D65" s="2">
        <v>13.064499999999899</v>
      </c>
      <c r="E65" s="2">
        <f t="shared" si="32"/>
        <v>32.92</v>
      </c>
      <c r="F65" s="2">
        <v>30.77</v>
      </c>
      <c r="G65" s="2">
        <v>2.15</v>
      </c>
      <c r="H65" s="2"/>
      <c r="I65" s="4"/>
      <c r="J65">
        <v>2013</v>
      </c>
      <c r="K65" s="2">
        <v>118.506999999999</v>
      </c>
      <c r="L65" s="2">
        <v>44.998999999999903</v>
      </c>
      <c r="M65" s="2">
        <v>73.507999999999996</v>
      </c>
      <c r="N65" s="2">
        <f t="shared" si="33"/>
        <v>300.19</v>
      </c>
      <c r="O65" s="2">
        <v>292.33</v>
      </c>
      <c r="P65" s="2">
        <v>7.86</v>
      </c>
    </row>
    <row r="66" spans="1:16" x14ac:dyDescent="0.25">
      <c r="A66">
        <v>2014</v>
      </c>
      <c r="B66" s="2">
        <v>37.408499999999997</v>
      </c>
      <c r="C66" s="2">
        <v>22.9755</v>
      </c>
      <c r="D66" s="2">
        <v>14.433</v>
      </c>
      <c r="E66" s="2">
        <f t="shared" si="32"/>
        <v>49.6</v>
      </c>
      <c r="F66" s="2">
        <v>48.27</v>
      </c>
      <c r="G66" s="2">
        <v>1.33</v>
      </c>
      <c r="H66" s="2"/>
      <c r="I66" s="4"/>
      <c r="J66">
        <v>2014</v>
      </c>
      <c r="K66" s="2">
        <v>155.91550000000001</v>
      </c>
      <c r="L66" s="2">
        <v>67.974499999999907</v>
      </c>
      <c r="M66" s="2">
        <v>87.940999999999903</v>
      </c>
      <c r="N66" s="2">
        <f t="shared" si="33"/>
        <v>349.8</v>
      </c>
      <c r="O66" s="2">
        <v>340.61</v>
      </c>
      <c r="P66" s="2">
        <v>9.19</v>
      </c>
    </row>
    <row r="67" spans="1:16" x14ac:dyDescent="0.25">
      <c r="A67">
        <v>2015</v>
      </c>
      <c r="B67" s="2">
        <v>47.353499999999997</v>
      </c>
      <c r="C67" s="2">
        <v>31.263000000000002</v>
      </c>
      <c r="D67" s="2">
        <v>16.090499999999999</v>
      </c>
      <c r="E67" s="2">
        <f t="shared" si="32"/>
        <v>65.59</v>
      </c>
      <c r="F67" s="2">
        <v>62.58</v>
      </c>
      <c r="G67" s="2">
        <v>3.01</v>
      </c>
      <c r="H67" s="2"/>
      <c r="I67" s="4"/>
      <c r="J67">
        <v>2015</v>
      </c>
      <c r="K67" s="2">
        <v>203.26899999999901</v>
      </c>
      <c r="L67" s="2">
        <v>99.237499999999997</v>
      </c>
      <c r="M67" s="2">
        <v>104.03149999999999</v>
      </c>
      <c r="N67" s="2">
        <f t="shared" si="33"/>
        <v>415.39</v>
      </c>
      <c r="O67" s="2">
        <v>403.19</v>
      </c>
      <c r="P67" s="2">
        <v>12.2</v>
      </c>
    </row>
    <row r="68" spans="1:16" x14ac:dyDescent="0.25">
      <c r="A68">
        <v>2016</v>
      </c>
      <c r="B68" s="2">
        <v>70.422499999999999</v>
      </c>
      <c r="C68" s="2">
        <v>52.6829999999999</v>
      </c>
      <c r="D68" s="2">
        <v>17.7395</v>
      </c>
      <c r="E68" s="2">
        <f t="shared" si="32"/>
        <v>52.14</v>
      </c>
      <c r="F68" s="2">
        <v>49.57</v>
      </c>
      <c r="G68" s="2">
        <v>2.57</v>
      </c>
      <c r="H68" s="2"/>
      <c r="I68" s="4"/>
      <c r="J68">
        <v>2016</v>
      </c>
      <c r="K68" s="2">
        <v>273.69150000000002</v>
      </c>
      <c r="L68" s="2">
        <v>151.91200000000001</v>
      </c>
      <c r="M68" s="2">
        <v>121.77099999999901</v>
      </c>
      <c r="N68" s="2">
        <f t="shared" si="33"/>
        <v>467.53</v>
      </c>
      <c r="O68" s="2">
        <v>452.76</v>
      </c>
      <c r="P68" s="2">
        <v>14.77</v>
      </c>
    </row>
    <row r="69" spans="1:16" x14ac:dyDescent="0.25">
      <c r="A69">
        <v>2017</v>
      </c>
      <c r="B69" s="2">
        <v>92.173999999999893</v>
      </c>
      <c r="C69" s="2">
        <v>59.219499999999996</v>
      </c>
      <c r="D69" s="2">
        <v>32.954500000000003</v>
      </c>
      <c r="E69" s="2">
        <f t="shared" si="32"/>
        <v>47.63</v>
      </c>
      <c r="F69" s="2">
        <v>43.89</v>
      </c>
      <c r="G69" s="2">
        <v>3.74</v>
      </c>
      <c r="H69" s="2"/>
      <c r="I69" s="4"/>
      <c r="J69">
        <v>2017</v>
      </c>
      <c r="K69" s="2">
        <v>365.8655</v>
      </c>
      <c r="L69" s="2">
        <v>211.13149999999999</v>
      </c>
      <c r="M69" s="2">
        <v>154.73399999999901</v>
      </c>
      <c r="N69" s="2">
        <f t="shared" si="33"/>
        <v>515.16</v>
      </c>
      <c r="O69" s="2">
        <v>496.65</v>
      </c>
      <c r="P69" s="2">
        <v>18.510000000000002</v>
      </c>
    </row>
    <row r="70" spans="1:16" x14ac:dyDescent="0.25">
      <c r="A70">
        <v>2018</v>
      </c>
      <c r="B70" s="2">
        <v>92.088999999999999</v>
      </c>
      <c r="C70" s="2">
        <v>54.340499999999999</v>
      </c>
      <c r="D70" s="2">
        <v>37.7484999999999</v>
      </c>
      <c r="E70" s="2">
        <f t="shared" si="32"/>
        <v>49.66</v>
      </c>
      <c r="F70" s="2">
        <v>45.18</v>
      </c>
      <c r="G70" s="2">
        <v>4.4800000000000004</v>
      </c>
      <c r="H70" s="2"/>
      <c r="I70" s="4"/>
      <c r="J70">
        <v>2018</v>
      </c>
      <c r="K70" s="2">
        <v>457.945999999999</v>
      </c>
      <c r="L70" s="2">
        <v>265.47199999999998</v>
      </c>
      <c r="M70" s="2">
        <v>192.47399999999999</v>
      </c>
      <c r="N70" s="2">
        <f t="shared" si="33"/>
        <v>564.82000000000005</v>
      </c>
      <c r="O70" s="2">
        <v>541.83000000000004</v>
      </c>
      <c r="P70" s="2">
        <v>22.99</v>
      </c>
    </row>
    <row r="71" spans="1:16" x14ac:dyDescent="0.25">
      <c r="A71">
        <v>2019</v>
      </c>
      <c r="B71" s="2">
        <v>104.32899999999999</v>
      </c>
      <c r="C71" s="2">
        <v>64.6935</v>
      </c>
      <c r="D71" s="2">
        <v>39.626999999999903</v>
      </c>
      <c r="E71" s="2">
        <f t="shared" si="32"/>
        <v>59.03</v>
      </c>
      <c r="F71" s="2">
        <v>53.39</v>
      </c>
      <c r="G71" s="2">
        <v>5.64</v>
      </c>
      <c r="H71" s="2"/>
      <c r="I71" s="4"/>
      <c r="J71">
        <v>2019</v>
      </c>
      <c r="K71" s="2">
        <v>562.27499999999998</v>
      </c>
      <c r="L71" s="2">
        <v>330.16550000000001</v>
      </c>
      <c r="M71" s="2">
        <v>232.101</v>
      </c>
      <c r="N71" s="2">
        <f t="shared" si="33"/>
        <v>623.85</v>
      </c>
      <c r="O71" s="2">
        <v>595.22</v>
      </c>
      <c r="P71" s="2">
        <v>28.63</v>
      </c>
    </row>
    <row r="72" spans="1:16" x14ac:dyDescent="0.25">
      <c r="A72">
        <v>2020</v>
      </c>
      <c r="B72" s="2">
        <v>127.35550000000001</v>
      </c>
      <c r="C72" s="2">
        <v>71.468000000000004</v>
      </c>
      <c r="D72" s="2">
        <v>55.887499999999903</v>
      </c>
      <c r="E72" s="2">
        <f t="shared" si="32"/>
        <v>108.19</v>
      </c>
      <c r="F72" s="2">
        <v>102.06</v>
      </c>
      <c r="G72" s="2">
        <v>6.13</v>
      </c>
      <c r="H72" s="2"/>
      <c r="I72" s="4"/>
      <c r="J72">
        <v>2020</v>
      </c>
      <c r="K72" s="2">
        <v>689.63049999999998</v>
      </c>
      <c r="L72" s="2">
        <v>401.633499999999</v>
      </c>
      <c r="M72" s="2">
        <v>287.99700000000001</v>
      </c>
      <c r="N72" s="2">
        <f t="shared" si="33"/>
        <v>732.04</v>
      </c>
      <c r="O72" s="2">
        <v>697.27</v>
      </c>
      <c r="P72" s="2">
        <v>34.770000000000003</v>
      </c>
    </row>
    <row r="73" spans="1:16" x14ac:dyDescent="0.25">
      <c r="A73">
        <v>2021</v>
      </c>
      <c r="B73" s="2">
        <v>140.80250000000001</v>
      </c>
      <c r="C73" s="2">
        <v>75.471500000000006</v>
      </c>
      <c r="D73" s="2">
        <v>65.331000000000003</v>
      </c>
      <c r="E73" s="2">
        <f t="shared" si="32"/>
        <v>92.81</v>
      </c>
      <c r="F73" s="2">
        <v>72.88</v>
      </c>
      <c r="G73" s="2">
        <v>19.93</v>
      </c>
      <c r="H73" s="2"/>
      <c r="I73" s="4"/>
      <c r="J73">
        <v>2021</v>
      </c>
      <c r="K73" s="2">
        <v>830.43299999999999</v>
      </c>
      <c r="L73" s="2">
        <v>477.104999999999</v>
      </c>
      <c r="M73" s="2">
        <v>353.32799999999997</v>
      </c>
      <c r="N73" s="2">
        <f t="shared" si="33"/>
        <v>824.86</v>
      </c>
      <c r="O73" s="2">
        <v>770.16</v>
      </c>
      <c r="P73" s="2">
        <v>54.7</v>
      </c>
    </row>
    <row r="74" spans="1:16" x14ac:dyDescent="0.25">
      <c r="A74">
        <v>2022</v>
      </c>
      <c r="B74" s="2">
        <v>189.0145</v>
      </c>
      <c r="C74" s="2">
        <v>92.054999999999893</v>
      </c>
      <c r="D74" s="2">
        <v>96.959499999999906</v>
      </c>
      <c r="E74" s="2">
        <f t="shared" si="32"/>
        <v>76.14</v>
      </c>
      <c r="F74" s="2">
        <v>65.81</v>
      </c>
      <c r="G74" s="2">
        <v>10.33</v>
      </c>
      <c r="H74" s="2"/>
      <c r="I74" s="4"/>
      <c r="J74">
        <v>2022</v>
      </c>
      <c r="K74" s="2">
        <v>1019.44749999999</v>
      </c>
      <c r="L74" s="2">
        <v>569.16</v>
      </c>
      <c r="M74" s="2">
        <v>450.287499999999</v>
      </c>
      <c r="N74" s="2">
        <f t="shared" si="33"/>
        <v>900.99</v>
      </c>
      <c r="O74" s="2">
        <v>835.96</v>
      </c>
      <c r="P74" s="2">
        <v>65.03</v>
      </c>
    </row>
    <row r="75" spans="1:16" x14ac:dyDescent="0.25">
      <c r="A75">
        <v>2023</v>
      </c>
      <c r="B75" s="2">
        <v>360.00049999999999</v>
      </c>
      <c r="C75" s="2">
        <v>200.4385</v>
      </c>
      <c r="D75" s="2">
        <v>159.56199999999899</v>
      </c>
      <c r="E75" s="2">
        <f t="shared" si="32"/>
        <v>114.57</v>
      </c>
      <c r="F75" s="2">
        <v>105.41</v>
      </c>
      <c r="G75" s="2">
        <v>9.16</v>
      </c>
      <c r="H75" s="2"/>
      <c r="I75" s="4"/>
      <c r="J75">
        <v>2023</v>
      </c>
      <c r="K75" s="2">
        <v>1379.4480000000001</v>
      </c>
      <c r="L75" s="2">
        <v>769.59849999999994</v>
      </c>
      <c r="M75" s="2">
        <v>609.84100000000001</v>
      </c>
      <c r="N75" s="2">
        <f t="shared" si="33"/>
        <v>1015.5699999999999</v>
      </c>
      <c r="O75" s="2">
        <v>941.38</v>
      </c>
      <c r="P75" s="2">
        <v>74.19</v>
      </c>
    </row>
    <row r="76" spans="1:16" x14ac:dyDescent="0.25">
      <c r="A76">
        <v>2024</v>
      </c>
      <c r="B76" s="2">
        <v>457.01949999999903</v>
      </c>
      <c r="C76" s="2">
        <v>275.671999999999</v>
      </c>
      <c r="D76" s="2">
        <v>181.3475</v>
      </c>
      <c r="E76" s="2">
        <f t="shared" si="32"/>
        <v>115.1</v>
      </c>
      <c r="F76" s="2">
        <v>105.88</v>
      </c>
      <c r="G76" s="2">
        <v>9.2200000000000006</v>
      </c>
      <c r="H76" s="2"/>
      <c r="I76" s="4"/>
      <c r="J76">
        <v>2024</v>
      </c>
      <c r="K76" s="2">
        <v>1836.4675</v>
      </c>
      <c r="L76" s="2">
        <v>1045.279</v>
      </c>
      <c r="M76" s="2">
        <v>791.18849999999998</v>
      </c>
      <c r="N76" s="2">
        <f t="shared" si="33"/>
        <v>1130.67</v>
      </c>
      <c r="O76" s="2">
        <v>1047.26</v>
      </c>
      <c r="P76" s="2">
        <v>83.41</v>
      </c>
    </row>
    <row r="77" spans="1:16" x14ac:dyDescent="0.25">
      <c r="A77">
        <v>2025</v>
      </c>
      <c r="B77" s="2">
        <v>558.66250000000002</v>
      </c>
      <c r="C77" s="2">
        <v>305.71949999999998</v>
      </c>
      <c r="D77" s="2">
        <v>252.94299999999899</v>
      </c>
      <c r="E77" s="2">
        <f>SUM(F77:G77)</f>
        <v>154.66</v>
      </c>
      <c r="F77" s="2">
        <v>139</v>
      </c>
      <c r="G77" s="2">
        <v>15.66</v>
      </c>
      <c r="H77" s="2"/>
      <c r="I77" s="4"/>
      <c r="J77">
        <v>2025</v>
      </c>
      <c r="K77" s="2">
        <v>2395.13</v>
      </c>
      <c r="L77" s="2">
        <v>1350.9984999999999</v>
      </c>
      <c r="M77" s="2">
        <v>1044.1400000000001</v>
      </c>
      <c r="N77" s="2">
        <f t="shared" si="33"/>
        <v>1285.3399999999999</v>
      </c>
      <c r="O77" s="2">
        <v>1186.26</v>
      </c>
      <c r="P77" s="2">
        <v>99.08</v>
      </c>
    </row>
    <row r="78" spans="1:16" x14ac:dyDescent="0.25">
      <c r="A78">
        <v>2026</v>
      </c>
      <c r="B78" s="2">
        <f>B77*$B$84</f>
        <v>614.52875000000006</v>
      </c>
      <c r="C78" s="2">
        <f>B78*0.57</f>
        <v>350.28138749999999</v>
      </c>
      <c r="D78" s="2">
        <f>B78-C78</f>
        <v>264.24736250000007</v>
      </c>
      <c r="E78" s="2">
        <f>E77*$E$84</f>
        <v>187.1386</v>
      </c>
      <c r="F78" s="2">
        <f>E78*0.92</f>
        <v>172.16751200000002</v>
      </c>
      <c r="G78" s="2">
        <f>E78-F78</f>
        <v>14.97108799999998</v>
      </c>
      <c r="H78" s="2"/>
      <c r="I78" s="4"/>
      <c r="J78">
        <v>2026</v>
      </c>
      <c r="K78" s="2">
        <f>K77+B78</f>
        <v>3009.6587500000001</v>
      </c>
      <c r="L78" s="2">
        <f>L77+C78</f>
        <v>1701.2798874999999</v>
      </c>
      <c r="M78" s="2">
        <f>K78-L78</f>
        <v>1308.3788625000002</v>
      </c>
      <c r="N78" s="2">
        <f t="shared" ref="N78:P82" si="34">N77+E78</f>
        <v>1472.4785999999999</v>
      </c>
      <c r="O78" s="2">
        <f t="shared" si="34"/>
        <v>1358.427512</v>
      </c>
      <c r="P78" s="2">
        <f t="shared" si="34"/>
        <v>114.05108799999998</v>
      </c>
    </row>
    <row r="79" spans="1:16" x14ac:dyDescent="0.25">
      <c r="A79">
        <v>2027</v>
      </c>
      <c r="B79" s="2">
        <f t="shared" ref="B79:B82" si="35">B78*$B$84</f>
        <v>675.98162500000012</v>
      </c>
      <c r="C79" s="2">
        <f t="shared" ref="C79:C82" si="36">B79*0.57</f>
        <v>385.30952625000003</v>
      </c>
      <c r="D79" s="2">
        <f t="shared" ref="D79:D82" si="37">B79-C79</f>
        <v>290.67209875000009</v>
      </c>
      <c r="E79" s="2">
        <f t="shared" ref="E79:E82" si="38">E78*$E$84</f>
        <v>226.43770599999999</v>
      </c>
      <c r="F79" s="2">
        <f t="shared" ref="F79:F82" si="39">E79*0.92</f>
        <v>208.32268952000001</v>
      </c>
      <c r="G79" s="2">
        <f t="shared" ref="G79:G82" si="40">E79-F79</f>
        <v>18.11501647999998</v>
      </c>
      <c r="H79" s="2"/>
      <c r="I79" s="4"/>
      <c r="J79">
        <v>2027</v>
      </c>
      <c r="K79" s="2">
        <f t="shared" ref="K79" si="41">K78+B79</f>
        <v>3685.6403749999999</v>
      </c>
      <c r="L79" s="2">
        <f t="shared" ref="L79:L82" si="42">L78+C79</f>
        <v>2086.5894137499999</v>
      </c>
      <c r="M79" s="2">
        <f t="shared" ref="M79:M82" si="43">K79-L79</f>
        <v>1599.05096125</v>
      </c>
      <c r="N79" s="2">
        <f t="shared" si="34"/>
        <v>1698.9163059999998</v>
      </c>
      <c r="O79" s="2">
        <f t="shared" si="34"/>
        <v>1566.75020152</v>
      </c>
      <c r="P79" s="2">
        <f t="shared" si="34"/>
        <v>132.16610447999994</v>
      </c>
    </row>
    <row r="80" spans="1:16" x14ac:dyDescent="0.25">
      <c r="A80">
        <v>2028</v>
      </c>
      <c r="B80" s="2">
        <f t="shared" si="35"/>
        <v>743.57978750000018</v>
      </c>
      <c r="C80" s="2">
        <f t="shared" si="36"/>
        <v>423.84047887500009</v>
      </c>
      <c r="D80" s="2">
        <f t="shared" si="37"/>
        <v>319.73930862500009</v>
      </c>
      <c r="E80" s="2">
        <f t="shared" si="38"/>
        <v>273.98962425999997</v>
      </c>
      <c r="F80" s="2">
        <f t="shared" si="39"/>
        <v>252.0704543192</v>
      </c>
      <c r="G80" s="2">
        <f t="shared" si="40"/>
        <v>21.919169940799975</v>
      </c>
      <c r="H80" s="2"/>
      <c r="I80" s="4"/>
      <c r="J80">
        <v>2028</v>
      </c>
      <c r="K80" s="2">
        <f>K79+B80</f>
        <v>4429.2201624999998</v>
      </c>
      <c r="L80" s="2">
        <f t="shared" si="42"/>
        <v>2510.4298926249999</v>
      </c>
      <c r="M80" s="2">
        <f t="shared" si="43"/>
        <v>1918.7902698749999</v>
      </c>
      <c r="N80" s="2">
        <f t="shared" si="34"/>
        <v>1972.9059302599999</v>
      </c>
      <c r="O80" s="2">
        <f t="shared" si="34"/>
        <v>1818.8206558392001</v>
      </c>
      <c r="P80" s="2">
        <f t="shared" si="34"/>
        <v>154.08527442079992</v>
      </c>
    </row>
    <row r="81" spans="1:16" x14ac:dyDescent="0.25">
      <c r="A81">
        <v>2029</v>
      </c>
      <c r="B81" s="2">
        <f t="shared" si="35"/>
        <v>817.93776625000021</v>
      </c>
      <c r="C81" s="2">
        <f t="shared" si="36"/>
        <v>466.22452676250009</v>
      </c>
      <c r="D81" s="2">
        <f t="shared" si="37"/>
        <v>351.71323948750012</v>
      </c>
      <c r="E81" s="2">
        <f t="shared" si="38"/>
        <v>331.52744535459993</v>
      </c>
      <c r="F81" s="2">
        <f t="shared" si="39"/>
        <v>305.00524972623197</v>
      </c>
      <c r="G81" s="2">
        <f t="shared" si="40"/>
        <v>26.522195628367967</v>
      </c>
      <c r="H81" s="2"/>
      <c r="I81" s="4"/>
      <c r="J81">
        <v>2029</v>
      </c>
      <c r="K81" s="2">
        <f>K80+B81</f>
        <v>5247.1579287499999</v>
      </c>
      <c r="L81" s="2">
        <f t="shared" si="42"/>
        <v>2976.6544193874997</v>
      </c>
      <c r="M81" s="2">
        <f t="shared" si="43"/>
        <v>2270.5035093625002</v>
      </c>
      <c r="N81" s="2">
        <f t="shared" si="34"/>
        <v>2304.4333756145998</v>
      </c>
      <c r="O81" s="2">
        <f t="shared" si="34"/>
        <v>2123.8259055654321</v>
      </c>
      <c r="P81" s="2">
        <f t="shared" si="34"/>
        <v>180.60747004916789</v>
      </c>
    </row>
    <row r="82" spans="1:16" x14ac:dyDescent="0.25">
      <c r="A82">
        <v>2030</v>
      </c>
      <c r="B82" s="2">
        <f t="shared" si="35"/>
        <v>899.73154287500029</v>
      </c>
      <c r="C82" s="2">
        <f t="shared" si="36"/>
        <v>512.84697943875017</v>
      </c>
      <c r="D82" s="2">
        <f t="shared" si="37"/>
        <v>386.88456343625012</v>
      </c>
      <c r="E82" s="2">
        <f t="shared" si="38"/>
        <v>401.14820887906592</v>
      </c>
      <c r="F82" s="2">
        <f t="shared" si="39"/>
        <v>369.05635216874066</v>
      </c>
      <c r="G82" s="2">
        <f t="shared" si="40"/>
        <v>32.09185671032526</v>
      </c>
      <c r="H82" s="2"/>
      <c r="I82" s="4"/>
      <c r="J82">
        <v>2030</v>
      </c>
      <c r="K82" s="2">
        <f>6699*0.85</f>
        <v>5694.15</v>
      </c>
      <c r="L82" s="2">
        <f t="shared" si="42"/>
        <v>3489.5013988262499</v>
      </c>
      <c r="M82" s="2">
        <f t="shared" si="43"/>
        <v>2204.6486011737497</v>
      </c>
      <c r="N82" s="2">
        <f t="shared" si="34"/>
        <v>2705.5815844936656</v>
      </c>
      <c r="O82" s="2">
        <f t="shared" si="34"/>
        <v>2492.8822577341725</v>
      </c>
      <c r="P82" s="2">
        <f t="shared" si="34"/>
        <v>212.69932675949315</v>
      </c>
    </row>
    <row r="83" spans="1:16" x14ac:dyDescent="0.25">
      <c r="N83" s="2"/>
    </row>
    <row r="84" spans="1:16" x14ac:dyDescent="0.25">
      <c r="B84">
        <v>1.1000000000000001</v>
      </c>
      <c r="E84">
        <v>1.21</v>
      </c>
    </row>
  </sheetData>
  <mergeCells count="4">
    <mergeCell ref="B4:H4"/>
    <mergeCell ref="K4:S4"/>
    <mergeCell ref="B30:G30"/>
    <mergeCell ref="K30:P3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tripling RE</vt:lpstr>
      <vt:lpstr>additions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Norman</dc:creator>
  <cp:lastModifiedBy>James Norman</cp:lastModifiedBy>
  <dcterms:created xsi:type="dcterms:W3CDTF">2026-05-05T11:40:23Z</dcterms:created>
  <dcterms:modified xsi:type="dcterms:W3CDTF">2026-05-18T13:27:18Z</dcterms:modified>
</cp:coreProperties>
</file>